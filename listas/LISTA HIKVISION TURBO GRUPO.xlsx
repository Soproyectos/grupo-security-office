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b82b77b2171dff1/Documentos/"/>
    </mc:Choice>
  </mc:AlternateContent>
  <xr:revisionPtr revIDLastSave="4" documentId="8_{34527393-AC6D-4F1F-A73F-BAC79D41C9BD}" xr6:coauthVersionLast="47" xr6:coauthVersionMax="47" xr10:uidLastSave="{18ED79F2-991E-4D53-9EB2-E44A51A0313C}"/>
  <bookViews>
    <workbookView xWindow="-120" yWindow="-120" windowWidth="21840" windowHeight="13020" xr2:uid="{7AC8E448-AF31-4DBD-849D-B00462D92ED3}"/>
  </bookViews>
  <sheets>
    <sheet name="HIKVISION TURB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hidden="1">{"'ADV&amp;DP'!$A$4:$C$25"}</definedName>
    <definedName name="_??" hidden="1">{"'?????10.27??????'!$Q$16"}</definedName>
    <definedName name="_????" hidden="1">{"'?????10.27??????'!$Q$16"}</definedName>
    <definedName name="_?????" hidden="1">{"DCF-???",#N/A,TRUE,"???";"DCF-??",#N/A,TRUE,"??";"DCF-??",#N/A,TRUE,"??";"DCF-??",#N/A,TRUE,"??";"DCF-??",#N/A,TRUE,"??";"DCF-??",#N/A,TRUE,"??";"DCF-??",#N/A,TRUE,"??";"DCF-??",#N/A,TRUE,"??";"DCF-??",#N/A,TRUE,"??"}</definedName>
    <definedName name="_??????" hidden="1">{"'?????10.27??????'!$Q$16"}</definedName>
    <definedName name="_??06" hidden="1">{"'?????10.27??????'!$Q$16"}</definedName>
    <definedName name="_?16??" hidden="1">{"'????'!$A$1:$C$37"}</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hidden="1">{"'????'!$A$1:$C$37"}</definedName>
    <definedName name="_68__123Graph_XCHART_8" hidden="1">#REF!</definedName>
    <definedName name="_69__123Graph_XCHART_9" hidden="1">#REF!</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localSheetId="0" hidden="1">'HIKVISION TURBO'!$A$2:$J$31</definedName>
    <definedName name="_xlnm._FilterDatabase" hidden="1">'[5]46W9'!#REF!</definedName>
    <definedName name="_Key2" hidden="1">#REF!</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hidden="1">{#N/A,#N/A,FALSE,"TOTFINAL";#N/A,#N/A,FALSE,"FINPLAN";#N/A,#N/A,FALSE,"TOTMOTADJ";#N/A,#N/A,FALSE,"tieEQ";#N/A,#N/A,FALSE,"G";#N/A,#N/A,FALSE,"ELIMS";#N/A,#N/A,FALSE,"NEXTEL ADJ";#N/A,#N/A,FALSE,"MIMS";#N/A,#N/A,FALSE,"LMPS";#N/A,#N/A,FALSE,"CNSS";#N/A,#N/A,FALSE,"CSS";#N/A,#N/A,FALSE,"MCG";#N/A,#N/A,FALSE,"AECS";#N/A,#N/A,FALSE,"SPS";#N/A,#N/A,FALSE,"CORP"}</definedName>
    <definedName name="ando" hidden="1">{"'下期集計（10.27迄・速報値）'!$Q$16"}</definedName>
    <definedName name="anscount" hidden="1">3</definedName>
    <definedName name="_xlnm.Print_Area" localSheetId="0">Tabla14[#All]</definedName>
    <definedName name="AS2DocOpenMode" hidden="1">"AS2DocumentEdit"</definedName>
    <definedName name="AS2HasNoAutoHeaderFooter" hidden="1">" "</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hidden="1">{"'Highlights'!$A$1:$M$123"}</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hidden="1">{"'下期集計（10.27迄・速報値）'!$Q$16"}</definedName>
    <definedName name="cover" hidden="1">#REF!</definedName>
    <definedName name="efg" hidden="1">{#N/A,#N/A,TRUE,"A"}</definedName>
    <definedName name="fds" hidden="1">{"'下期集計（10.27迄・速報値）'!$Q$16"}</definedName>
    <definedName name="ｇ" hidden="1">{"'下期集計（10.27迄・速報値）'!$Q$16"}</definedName>
    <definedName name="gd" hidden="1">{"'下期集計（10.27迄・速報値）'!$Q$16"}</definedName>
    <definedName name="gda" hidden="1">{"'下期集計（10.27迄・速報値）'!$Q$16"}</definedName>
    <definedName name="gdsa" hidden="1">{"'下期集計（10.27迄・速報値）'!$Q$16"}</definedName>
    <definedName name="gh" hidden="1">{"'Highlights'!$A$1:$M$123"}</definedName>
    <definedName name="ｈ" hidden="1">{"'下期集計（10.27迄・速報値）'!$Q$16"}</definedName>
    <definedName name="H16?1??" hidden="1">{"'????'!$A$1:$C$37"}</definedName>
    <definedName name="Ｈ16・１" hidden="1">{"'コメント'!$A$1:$C$37"}</definedName>
    <definedName name="H16･1速報" hidden="1">{"'コメント'!$A$1:$C$37"}</definedName>
    <definedName name="HTM_Control" hidden="1">{"'下期集計（10.27迄・速報値）'!$Q$16"}</definedName>
    <definedName name="ＨＴＭＬ" hidden="1">{"'コメント'!$A$1:$C$37"}</definedName>
    <definedName name="HTML_CodePage" hidden="1">1252</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hidden="1">{"'Highlights'!$A$1:$M$123"}</definedName>
    <definedName name="k" hidden="1">{"'下期集計（10.27迄・速報値）'!$Q$16"}</definedName>
    <definedName name="kjh" hidden="1">{#N/A,#N/A,TRUE,"A"}</definedName>
    <definedName name="kjl" hidden="1">{#N/A,#N/A,FALSE,"TOTFINAL";#N/A,#N/A,FALSE,"FINPLAN";#N/A,#N/A,FALSE,"TOTMOTADJ";#N/A,#N/A,FALSE,"tieEQ";#N/A,#N/A,FALSE,"G";#N/A,#N/A,FALSE,"ELIMS";#N/A,#N/A,FALSE,"NEXTEL ADJ";#N/A,#N/A,FALSE,"MIMS";#N/A,#N/A,FALSE,"LMPS";#N/A,#N/A,FALSE,"CNSS";#N/A,#N/A,FALSE,"CSS";#N/A,#N/A,FALSE,"MCG";#N/A,#N/A,FALSE,"AECS";#N/A,#N/A,FALSE,"SPS";#N/A,#N/A,FALSE,"CORP"}</definedName>
    <definedName name="kk" hidden="1">{"'下期集計（10.27迄・速報値）'!$Q$16"}</definedName>
    <definedName name="kkk" hidden="1">{"'下期集計（10.27迄・速報値）'!$Q$16"}</definedName>
    <definedName name="lio" hidden="1">{#N/A,#N/A,TRUE,"A"}</definedName>
    <definedName name="LISTA">#REF!</definedName>
    <definedName name="ListOffset" hidden="1">1</definedName>
    <definedName name="MBAS" hidden="1">{"'ADV&amp;DP'!$A$4:$C$25"}</definedName>
    <definedName name="mbs" hidden="1">{"'ADV&amp;DP'!$A$4:$C$25"}</definedName>
    <definedName name="MKK" hidden="1">{"'下期集計（10.27迄・速報値）'!$Q$16"}</definedName>
    <definedName name="mmm" hidden="1">{"'ADV&amp;DP'!$A$4:$C$25"}</definedName>
    <definedName name="MOBILE" hidden="1">{"'ADV&amp;DP'!$A$4:$C$25"}</definedName>
    <definedName name="n" hidden="1">{"'下期集計（10.27迄・速報値）'!$Q$16"}</definedName>
    <definedName name="new" hidden="1">{"'Highlights'!$A$1:$M$123"}</definedName>
    <definedName name="nm" hidden="1">{#N/A,#N/A,TRUE,"A"}</definedName>
    <definedName name="ñlo" hidden="1">{#N/A,#N/A,TRUE,"A"}</definedName>
    <definedName name="ñp" hidden="1">{#N/A,#N/A,TRUE,"A"}</definedName>
    <definedName name="oi" hidden="1">{#N/A,#N/A,TRUE,"A"}</definedName>
    <definedName name="ok" hidden="1">{"'Highlights'!$A$1:$M$123"}</definedName>
    <definedName name="PANELES">#REF!</definedName>
    <definedName name="piu" hidden="1">{#N/A,#N/A,TRUE,"A"}</definedName>
    <definedName name="plo" hidden="1">{#N/A,#N/A,TRUE,"A"}</definedName>
    <definedName name="po" hidden="1">{#N/A,#N/A,TRUE,"A"}</definedName>
    <definedName name="PTSB" hidden="1">{"'Highlights'!$A$1:$M$123"}</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hidden="1">{"'下期集計（10.27迄・速報値）'!$Q$16"}</definedName>
    <definedName name="ＲＡＲＯＡ" hidden="1">{"'下期集計（10.27迄・速報値）'!$Q$16"}</definedName>
    <definedName name="RETENCION">'[7]Cálculo LPVta Cambium'!$AA$4</definedName>
    <definedName name="rfg" hidden="1">{#N/A,#N/A,TRUE,"A"}</definedName>
    <definedName name="SAPBEXdnldView" hidden="1">"4X7PHJJ3EF70UJ33CI6YVQIOV"</definedName>
    <definedName name="SAPBEXsysID" hidden="1">"PBK"</definedName>
    <definedName name="SCOG" hidden="1">{"'ADV&amp;DP'!$A$4:$C$25"}</definedName>
    <definedName name="sencount" hidden="1">1</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hidden="1">{"'下期集計（10.27迄・速報値）'!$Q$16"}</definedName>
    <definedName name="tyh" hidden="1">{#N/A,#N/A,TRUE,"A"}</definedName>
    <definedName name="v" hidden="1">{#N/A,#N/A,FALSE,"TOTFINAL";#N/A,#N/A,FALSE,"FINPLAN";#N/A,#N/A,FALSE,"TOTMOTADJ";#N/A,#N/A,FALSE,"tieEQ";#N/A,#N/A,FALSE,"G";#N/A,#N/A,FALSE,"ELIMS";#N/A,#N/A,FALSE,"NEXTEL ADJ";#N/A,#N/A,FALSE,"MIMS";#N/A,#N/A,FALSE,"LMPS";#N/A,#N/A,FALSE,"CNSS";#N/A,#N/A,FALSE,"CSS";#N/A,#N/A,FALSE,"MCG";#N/A,#N/A,FALSE,"AECS";#N/A,#N/A,FALSE,"SPS";#N/A,#N/A,FALSE,"CORP"}</definedName>
    <definedName name="vbn" hidden="1">{#N/A,#N/A,TRUE,"A"}</definedName>
    <definedName name="w" hidden="1">{"'下期集計（10.27迄・速報値）'!$Q$16"}</definedName>
    <definedName name="wrn.???." hidden="1">{"DCF-???",#N/A,TRUE,"???";"FS-???",#N/A,TRUE,"???";"DCF-??",#N/A,TRUE,"??";"FS-??",#N/A,TRUE,"??";"DCF-??",#N/A,TRUE,"??";"FS-??",#N/A,TRUE,"??";"DCF-??",#N/A,TRUE,"??";"FS-??",#N/A,TRUE,"??";"DCF-??",#N/A,TRUE,"??";"FS-??",#N/A,TRUE,"??";"DCF-??",#N/A,TRUE,"??";"FS-??",#N/A,TRUE,"??";"DCF-??",#N/A,TRUE,"??";"FS-??",#N/A,TRUE,"??";"DCF-??",#N/A,TRUE,"??";"FS-??",#N/A,TRUE,"??";"DCF-??",#N/A,TRUE,"??";"FS-??",#N/A,TRUE,"??"}</definedName>
    <definedName name="wrn.Aging._.and._.Trend._.Analysis." hidden="1">{#N/A,#N/A,FALSE,"Aging Summary";#N/A,#N/A,FALSE,"Ratio Analysis";#N/A,#N/A,FALSE,"Test 120 Day Accts";#N/A,#N/A,FALSE,"Tickmarks"}</definedName>
    <definedName name="wrn.All._.Sheets." hidden="1">{#N/A,#N/A,FALSE,"1997 WW (Short)";#N/A,#N/A,FALSE,"1997 RF Mfg";#N/A,#N/A,FALSE,"Ancillary-CSM";#N/A,#N/A,FALSE,"1997 Service"}</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DCF????." hidden="1">{"DCF-???",#N/A,TRUE,"???";"DCF-??",#N/A,TRUE,"??";"DCF-??",#N/A,TRUE,"??";"DCF-??",#N/A,TRUE,"??";"DCF-??",#N/A,TRUE,"??";"DCF-??",#N/A,TRUE,"??";"DCF-??",#N/A,TRUE,"??";"DCF-??",#N/A,TRUE,"??";"DCF-??",#N/A,TRUE,"??"}</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hidden="1">{#N/A,#N/A,TRUE,"A"}</definedName>
    <definedName name="wrn.EAN3" hidden="1">{#N/A,#N/A,TRUE,"A"}</definedName>
    <definedName name="wrn.FS????." hidden="1">{"FS-???",#N/A,TRUE,"???";"FS-??",#N/A,TRUE,"??";"FS-??",#N/A,TRUE,"??";"FS-??",#N/A,TRUE,"??";"FS-??",#N/A,TRUE,"??";"FS-??",#N/A,TRUE,"??";"FS-??",#N/A,TRUE,"??";"FS-??",#N/A,TRUE,"??";"FS-??",#N/A,TRUE,"??"}</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hidden="1">{#N/A,#N/A,FALSE,"Outlook for Month ";#N/A,#N/A,FALSE,"Risk for Month ";#N/A,#N/A,FALSE,"Upside for Month"}</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hidden="1">{#N/A,#N/A,TRUE,"A"}</definedName>
    <definedName name="yhu" hidden="1">{#N/A,#N/A,TRUE,"A"}</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hidden="1">{#N/A,#N/A,FALSE,"TOTFINAL";#N/A,#N/A,FALSE,"FINPLAN";#N/A,#N/A,FALSE,"TOTMOTADJ";#N/A,#N/A,FALSE,"tieEQ";#N/A,#N/A,FALSE,"G";#N/A,#N/A,FALSE,"ELIMS";#N/A,#N/A,FALSE,"NEXTEL ADJ";#N/A,#N/A,FALSE,"MIMS";#N/A,#N/A,FALSE,"LMPS";#N/A,#N/A,FALSE,"CNSS";#N/A,#N/A,FALSE,"CSS";#N/A,#N/A,FALSE,"MCG";#N/A,#N/A,FALSE,"AECS";#N/A,#N/A,FALSE,"SPS";#N/A,#N/A,FALSE,"CORP"}</definedName>
    <definedName name="ぁ" hidden="1">{"'下期集計（10.27迄・速報値）'!$Q$16"}</definedName>
    <definedName name="あ" hidden="1">{"'下期集計（10.27迄・速報値）'!$Q$16"}</definedName>
    <definedName name="あああ" hidden="1">{"'下期集計（10.27迄・速報値）'!$Q$16"}</definedName>
    <definedName name="ｼｰﾄ" hidden="1">[9]計算過程シート!#REF!</definedName>
    <definedName name="なんで" hidden="1">{"'下期集計（10.27迄・速報値）'!$Q$16"}</definedName>
    <definedName name="なんなの" hidden="1">{"'下期集計（10.27迄・速報値）'!$Q$16"}</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hidden="1">{"'下期集計（10.27迄・速報値）'!$Q$16"}</definedName>
    <definedName name="年間資金収支あ" hidden="1">{"'下期集計（10.27迄・速報値）'!$Q$16"}</definedName>
    <definedName name="日繰06" hidden="1">{"'下期集計（10.27迄・速報値）'!$Q$16"}</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hidden="1">{"'下期集計（10.27迄・速報値）'!$Q$16"}</definedName>
    <definedName name="評価対象" hidden="1">[9]計算過程シート!#REF!</definedName>
    <definedName name="資金" hidden="1">{"'下期集計（10.27迄・速報値）'!$Q$16"}</definedName>
    <definedName name="金利体系"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1" l="1"/>
  <c r="P3" i="1"/>
  <c r="R3" i="1"/>
  <c r="P4" i="1"/>
  <c r="R4" i="1"/>
  <c r="P5" i="1"/>
  <c r="R5" i="1"/>
  <c r="P6" i="1"/>
  <c r="R6" i="1"/>
  <c r="P7" i="1"/>
  <c r="R7" i="1"/>
  <c r="R8" i="1"/>
  <c r="S8" i="1"/>
  <c r="P8" i="1" s="1"/>
  <c r="P9" i="1"/>
  <c r="R9" i="1"/>
  <c r="P10" i="1"/>
  <c r="R10" i="1"/>
  <c r="P11" i="1"/>
  <c r="R11" i="1"/>
  <c r="P12" i="1"/>
  <c r="R12" i="1"/>
  <c r="P13" i="1"/>
  <c r="R13" i="1"/>
  <c r="R14" i="1"/>
  <c r="S14" i="1"/>
  <c r="P14" i="1" s="1"/>
  <c r="R15" i="1"/>
  <c r="S15" i="1"/>
  <c r="P15" i="1" s="1"/>
  <c r="P16" i="1"/>
  <c r="R16" i="1"/>
  <c r="R17" i="1"/>
  <c r="S17" i="1"/>
  <c r="P17" i="1" s="1"/>
  <c r="P18" i="1"/>
  <c r="R18" i="1"/>
  <c r="R19" i="1"/>
  <c r="S19" i="1"/>
  <c r="P19" i="1" s="1"/>
  <c r="P20" i="1"/>
  <c r="R20" i="1"/>
  <c r="P21" i="1"/>
  <c r="R21" i="1"/>
  <c r="P22" i="1"/>
  <c r="R22" i="1"/>
  <c r="P23" i="1"/>
  <c r="R23" i="1"/>
  <c r="P24" i="1"/>
  <c r="R24" i="1"/>
  <c r="P25" i="1"/>
  <c r="R25" i="1"/>
  <c r="R26" i="1"/>
  <c r="S26" i="1"/>
  <c r="P26" i="1" s="1"/>
  <c r="P27" i="1"/>
  <c r="R27" i="1"/>
  <c r="P28" i="1"/>
  <c r="R28" i="1"/>
  <c r="P29" i="1"/>
  <c r="R29" i="1"/>
  <c r="R30" i="1"/>
  <c r="S30" i="1"/>
  <c r="P30" i="1" s="1"/>
  <c r="R31" i="1"/>
  <c r="S31" i="1"/>
  <c r="P31" i="1" s="1"/>
  <c r="P32" i="1"/>
  <c r="R32" i="1"/>
  <c r="P33" i="1"/>
  <c r="R33" i="1"/>
  <c r="P34" i="1"/>
  <c r="R34" i="1"/>
  <c r="R35" i="1"/>
  <c r="S35" i="1"/>
  <c r="P35" i="1" s="1"/>
  <c r="R36" i="1"/>
  <c r="S36" i="1"/>
  <c r="P36" i="1" s="1"/>
  <c r="P37" i="1"/>
  <c r="R37" i="1"/>
  <c r="P38" i="1"/>
  <c r="R38" i="1"/>
  <c r="P39" i="1"/>
  <c r="R39" i="1"/>
  <c r="P40" i="1"/>
  <c r="R40" i="1"/>
  <c r="R41" i="1"/>
  <c r="S41" i="1"/>
  <c r="P41" i="1" s="1"/>
  <c r="P42" i="1"/>
  <c r="R42" i="1"/>
  <c r="P43" i="1"/>
  <c r="R43" i="1"/>
  <c r="P44" i="1"/>
  <c r="R44" i="1"/>
  <c r="P45" i="1"/>
  <c r="R45" i="1"/>
  <c r="P46" i="1"/>
  <c r="R46" i="1"/>
  <c r="P47" i="1"/>
  <c r="R47" i="1"/>
  <c r="P48" i="1"/>
  <c r="R48" i="1"/>
  <c r="P49" i="1"/>
  <c r="R49" i="1"/>
  <c r="P50" i="1"/>
  <c r="R50" i="1"/>
  <c r="R51" i="1"/>
  <c r="S51" i="1"/>
  <c r="P51" i="1" s="1"/>
  <c r="P52" i="1"/>
  <c r="R52" i="1"/>
  <c r="P53" i="1"/>
  <c r="R53" i="1"/>
  <c r="P54" i="1"/>
  <c r="R54" i="1"/>
  <c r="R55" i="1"/>
  <c r="S55" i="1"/>
  <c r="P55" i="1" s="1"/>
  <c r="P56" i="1"/>
  <c r="R56" i="1"/>
  <c r="P57" i="1"/>
  <c r="R57" i="1"/>
  <c r="P58" i="1"/>
  <c r="R58" i="1"/>
  <c r="R59" i="1"/>
  <c r="S59" i="1"/>
  <c r="P59" i="1" s="1"/>
  <c r="P60" i="1"/>
  <c r="R60" i="1"/>
  <c r="P61" i="1"/>
  <c r="R61" i="1"/>
  <c r="C62" i="1"/>
  <c r="E62" i="1"/>
  <c r="G62" i="1"/>
  <c r="H62" i="1"/>
  <c r="D62" i="1" s="1"/>
  <c r="P62" i="1"/>
  <c r="R62" i="1"/>
  <c r="Q62" i="1" s="1"/>
  <c r="I62" i="1" s="1"/>
  <c r="R63" i="1"/>
  <c r="S63" i="1"/>
  <c r="P63" i="1" s="1"/>
  <c r="P64" i="1"/>
  <c r="R64" i="1"/>
  <c r="R65" i="1"/>
  <c r="S65" i="1"/>
  <c r="P65" i="1" s="1"/>
  <c r="R66" i="1"/>
  <c r="S66" i="1"/>
  <c r="P66" i="1" s="1"/>
  <c r="P67" i="1"/>
  <c r="R67" i="1"/>
  <c r="P68" i="1"/>
  <c r="R68" i="1"/>
  <c r="P69" i="1"/>
  <c r="R69" i="1"/>
  <c r="R70" i="1"/>
  <c r="S70" i="1"/>
  <c r="P70" i="1" s="1"/>
  <c r="P71" i="1"/>
  <c r="R71" i="1"/>
  <c r="P72" i="1"/>
  <c r="R72" i="1"/>
  <c r="P73" i="1"/>
  <c r="R73" i="1"/>
  <c r="P74" i="1"/>
  <c r="R74" i="1"/>
  <c r="P75" i="1"/>
  <c r="R75" i="1"/>
  <c r="P76" i="1"/>
  <c r="R76" i="1"/>
  <c r="P77" i="1"/>
  <c r="R77" i="1"/>
  <c r="P78" i="1"/>
  <c r="R78" i="1"/>
  <c r="P79" i="1"/>
  <c r="R79" i="1"/>
  <c r="P80" i="1"/>
  <c r="R80" i="1"/>
  <c r="P81" i="1"/>
  <c r="R81" i="1"/>
  <c r="P82" i="1"/>
  <c r="R82" i="1"/>
  <c r="P83" i="1"/>
  <c r="R83" i="1"/>
  <c r="P84" i="1"/>
  <c r="R84" i="1"/>
  <c r="P85" i="1"/>
  <c r="R85" i="1"/>
  <c r="P86" i="1"/>
  <c r="R86" i="1"/>
  <c r="P87" i="1"/>
  <c r="R87" i="1"/>
  <c r="P88" i="1"/>
  <c r="R88" i="1"/>
  <c r="P89" i="1"/>
  <c r="R89" i="1"/>
  <c r="P90" i="1"/>
  <c r="R90" i="1"/>
  <c r="P91" i="1"/>
  <c r="R91" i="1"/>
  <c r="P92" i="1"/>
  <c r="R92" i="1"/>
  <c r="P93" i="1"/>
  <c r="R93" i="1"/>
  <c r="P94" i="1"/>
  <c r="R94" i="1"/>
  <c r="P95" i="1"/>
  <c r="R95" i="1"/>
  <c r="P96" i="1"/>
  <c r="R96" i="1"/>
  <c r="P97" i="1"/>
  <c r="R97" i="1"/>
  <c r="P98" i="1"/>
  <c r="R98" i="1"/>
  <c r="P99" i="1"/>
  <c r="R99" i="1"/>
  <c r="P100" i="1"/>
  <c r="R100" i="1"/>
  <c r="P101" i="1"/>
  <c r="R101" i="1"/>
  <c r="P102" i="1"/>
  <c r="R102" i="1"/>
  <c r="P103" i="1"/>
  <c r="R103" i="1"/>
  <c r="P104" i="1"/>
  <c r="R104" i="1"/>
  <c r="P105" i="1"/>
  <c r="R105" i="1"/>
  <c r="P106" i="1"/>
  <c r="R106" i="1"/>
  <c r="P107" i="1"/>
  <c r="R107" i="1"/>
  <c r="P108" i="1"/>
  <c r="R108" i="1"/>
  <c r="P109" i="1"/>
  <c r="R109" i="1"/>
  <c r="P110" i="1"/>
  <c r="R110" i="1"/>
  <c r="P111" i="1"/>
  <c r="R111" i="1"/>
  <c r="P112" i="1"/>
  <c r="R112" i="1"/>
  <c r="P113" i="1"/>
  <c r="R113" i="1"/>
  <c r="P114" i="1"/>
  <c r="R114" i="1"/>
  <c r="P115" i="1"/>
  <c r="R115" i="1"/>
  <c r="P116" i="1"/>
  <c r="R116" i="1"/>
  <c r="P117" i="1"/>
  <c r="R117" i="1"/>
  <c r="P118" i="1"/>
  <c r="R118" i="1"/>
  <c r="P119" i="1"/>
  <c r="R119" i="1"/>
  <c r="P120" i="1"/>
  <c r="R120" i="1"/>
  <c r="P121" i="1"/>
  <c r="R121" i="1"/>
  <c r="C122" i="1"/>
  <c r="E122" i="1"/>
  <c r="G122" i="1"/>
  <c r="H122" i="1"/>
  <c r="D122" i="1" s="1"/>
  <c r="P122" i="1"/>
  <c r="R122" i="1"/>
  <c r="Q122" i="1" s="1"/>
  <c r="I122" i="1" s="1"/>
  <c r="P123" i="1"/>
  <c r="R123" i="1"/>
  <c r="P124" i="1"/>
  <c r="R124" i="1"/>
  <c r="P125" i="1"/>
  <c r="R125" i="1"/>
  <c r="P126" i="1"/>
  <c r="R126" i="1"/>
  <c r="P127" i="1"/>
  <c r="R127" i="1"/>
  <c r="P128" i="1"/>
  <c r="R128" i="1"/>
  <c r="P129" i="1"/>
  <c r="R129" i="1"/>
  <c r="P130" i="1"/>
  <c r="R130" i="1"/>
  <c r="P131" i="1"/>
  <c r="R131" i="1"/>
  <c r="P132" i="1"/>
  <c r="R132" i="1"/>
  <c r="P133" i="1"/>
  <c r="R133" i="1"/>
  <c r="P134" i="1"/>
  <c r="R134" i="1"/>
  <c r="P135" i="1"/>
  <c r="R135" i="1"/>
  <c r="P136" i="1"/>
  <c r="R136" i="1"/>
  <c r="P137" i="1"/>
  <c r="R137" i="1"/>
  <c r="P138" i="1"/>
  <c r="R138" i="1"/>
  <c r="P139" i="1"/>
  <c r="R139" i="1"/>
  <c r="P140" i="1"/>
  <c r="R140" i="1"/>
  <c r="P141" i="1"/>
  <c r="R141" i="1"/>
  <c r="P142" i="1"/>
  <c r="R142" i="1"/>
  <c r="P143" i="1"/>
  <c r="R143" i="1"/>
  <c r="P144" i="1"/>
  <c r="R144" i="1"/>
  <c r="P145" i="1"/>
  <c r="R145" i="1"/>
  <c r="P146" i="1"/>
  <c r="R146" i="1"/>
  <c r="P147" i="1"/>
  <c r="R147" i="1"/>
  <c r="P148" i="1"/>
  <c r="R148" i="1"/>
  <c r="P149" i="1"/>
  <c r="R149" i="1"/>
  <c r="P150" i="1"/>
  <c r="R150" i="1"/>
  <c r="P151" i="1"/>
  <c r="R151" i="1"/>
  <c r="P152" i="1"/>
  <c r="R152" i="1"/>
  <c r="P153" i="1"/>
  <c r="R153" i="1"/>
  <c r="P154" i="1"/>
  <c r="R154" i="1"/>
  <c r="P155" i="1"/>
  <c r="R155" i="1"/>
  <c r="P156" i="1"/>
  <c r="R156" i="1"/>
  <c r="P157" i="1"/>
  <c r="R157" i="1"/>
  <c r="P158" i="1"/>
  <c r="R158" i="1"/>
  <c r="P159" i="1"/>
  <c r="R159" i="1"/>
  <c r="P160" i="1"/>
  <c r="R160" i="1"/>
  <c r="P161" i="1"/>
  <c r="R161" i="1"/>
  <c r="P162" i="1"/>
  <c r="R162" i="1"/>
  <c r="P163" i="1"/>
  <c r="R163" i="1"/>
  <c r="P164" i="1"/>
  <c r="R164" i="1"/>
  <c r="P165" i="1"/>
  <c r="R165" i="1"/>
  <c r="P166" i="1"/>
  <c r="R166" i="1"/>
  <c r="P167" i="1"/>
  <c r="R167" i="1"/>
  <c r="P168" i="1"/>
  <c r="R168" i="1"/>
  <c r="P169" i="1"/>
  <c r="R169" i="1"/>
  <c r="P170" i="1"/>
  <c r="R170" i="1"/>
  <c r="P171" i="1"/>
  <c r="R171" i="1"/>
  <c r="P172" i="1"/>
  <c r="R172" i="1"/>
  <c r="P173" i="1"/>
  <c r="R173" i="1"/>
  <c r="P174" i="1"/>
  <c r="R174" i="1"/>
  <c r="P175" i="1"/>
  <c r="R175" i="1"/>
  <c r="P176" i="1"/>
  <c r="R176" i="1"/>
  <c r="P177" i="1"/>
  <c r="R177" i="1"/>
  <c r="P178" i="1"/>
  <c r="R178" i="1"/>
  <c r="P179" i="1"/>
  <c r="R179" i="1"/>
  <c r="P180" i="1"/>
  <c r="R180" i="1"/>
  <c r="P181" i="1"/>
  <c r="R181" i="1"/>
  <c r="C182" i="1"/>
  <c r="G182" i="1"/>
  <c r="H182" i="1"/>
  <c r="D182" i="1" s="1"/>
  <c r="P182" i="1"/>
  <c r="R182" i="1"/>
  <c r="Q182" i="1" s="1"/>
  <c r="I182" i="1" s="1"/>
  <c r="P183" i="1"/>
  <c r="R183" i="1"/>
  <c r="P184" i="1"/>
  <c r="R184" i="1"/>
  <c r="P185" i="1"/>
  <c r="R185" i="1"/>
  <c r="P186" i="1"/>
  <c r="R186" i="1"/>
  <c r="P187" i="1"/>
  <c r="R187" i="1"/>
  <c r="P188" i="1"/>
  <c r="R188" i="1"/>
  <c r="P189" i="1"/>
  <c r="R189" i="1"/>
  <c r="P190" i="1"/>
  <c r="R190" i="1"/>
  <c r="P191" i="1"/>
  <c r="R191" i="1"/>
  <c r="P192" i="1"/>
  <c r="R192" i="1"/>
  <c r="P193" i="1"/>
  <c r="R193" i="1"/>
  <c r="P194" i="1"/>
  <c r="R194" i="1"/>
  <c r="P195" i="1"/>
  <c r="R195" i="1"/>
  <c r="P196" i="1"/>
  <c r="R196" i="1"/>
  <c r="P197" i="1"/>
  <c r="R197" i="1"/>
  <c r="P198" i="1"/>
  <c r="R198" i="1"/>
  <c r="P199" i="1"/>
  <c r="R199" i="1"/>
  <c r="P200" i="1"/>
  <c r="R200" i="1"/>
  <c r="P201" i="1"/>
  <c r="R201" i="1"/>
  <c r="P202" i="1"/>
  <c r="R202" i="1"/>
  <c r="P203" i="1"/>
  <c r="R203" i="1"/>
  <c r="P204" i="1"/>
  <c r="R204" i="1"/>
  <c r="P205" i="1"/>
  <c r="R205" i="1"/>
  <c r="P206" i="1"/>
  <c r="R206" i="1"/>
  <c r="P207" i="1"/>
  <c r="R207" i="1"/>
  <c r="R208" i="1"/>
  <c r="S208" i="1"/>
  <c r="P208" i="1" s="1"/>
  <c r="R209" i="1"/>
  <c r="S209" i="1"/>
  <c r="P209" i="1" s="1"/>
  <c r="R210" i="1"/>
  <c r="S210" i="1"/>
  <c r="P210" i="1" s="1"/>
  <c r="R211" i="1"/>
  <c r="S211" i="1"/>
  <c r="P211" i="1" s="1"/>
  <c r="P212" i="1"/>
  <c r="R212" i="1"/>
  <c r="P213" i="1"/>
  <c r="R213" i="1"/>
  <c r="G3" i="1" l="1"/>
  <c r="N3" i="1"/>
  <c r="E3" i="1"/>
  <c r="O3" i="1"/>
  <c r="J3" i="1" s="1"/>
  <c r="M3" i="1"/>
  <c r="Q3" i="1"/>
  <c r="I3" i="1" s="1"/>
  <c r="H3" i="1"/>
  <c r="D3" i="1" s="1"/>
  <c r="N4" i="1"/>
  <c r="M4" i="1"/>
  <c r="E4" i="1"/>
  <c r="O4" i="1"/>
  <c r="J4" i="1" s="1"/>
  <c r="C4" i="1"/>
  <c r="H4" i="1"/>
  <c r="Q4" i="1"/>
  <c r="I4" i="1" s="1"/>
  <c r="N5" i="1"/>
  <c r="O5" i="1"/>
  <c r="J5" i="1" s="1"/>
  <c r="E5" i="1"/>
  <c r="M5" i="1"/>
  <c r="Q5" i="1"/>
  <c r="I5" i="1" s="1"/>
  <c r="H5" i="1"/>
  <c r="C5" i="1"/>
  <c r="E6" i="1"/>
  <c r="N6" i="1"/>
  <c r="M6" i="1" s="1"/>
  <c r="O6" i="1"/>
  <c r="J6" i="1" s="1"/>
  <c r="C6" i="1"/>
  <c r="Q6" i="1"/>
  <c r="I6" i="1" s="1"/>
  <c r="H6" i="1"/>
  <c r="E7" i="1"/>
  <c r="N7" i="1"/>
  <c r="M7" i="1" s="1"/>
  <c r="O7" i="1"/>
  <c r="J7" i="1" s="1"/>
  <c r="C7" i="1"/>
  <c r="H7" i="1"/>
  <c r="Q7" i="1"/>
  <c r="I7" i="1" s="1"/>
  <c r="C8" i="1"/>
  <c r="H8" i="1"/>
  <c r="Q8" i="1"/>
  <c r="I8" i="1" s="1"/>
  <c r="O8" i="1"/>
  <c r="J8" i="1" s="1"/>
  <c r="N8" i="1"/>
  <c r="M8" i="1"/>
  <c r="E8" i="1"/>
  <c r="O9" i="1"/>
  <c r="J9" i="1" s="1"/>
  <c r="E9" i="1"/>
  <c r="N9" i="1"/>
  <c r="M9" i="1" s="1"/>
  <c r="C9" i="1"/>
  <c r="H9" i="1"/>
  <c r="Q9" i="1"/>
  <c r="I9" i="1" s="1"/>
  <c r="N10" i="1"/>
  <c r="M10" i="1" s="1"/>
  <c r="E10" i="1"/>
  <c r="O10" i="1"/>
  <c r="J10" i="1" s="1"/>
  <c r="C10" i="1"/>
  <c r="Q10" i="1"/>
  <c r="I10" i="1" s="1"/>
  <c r="H10" i="1"/>
  <c r="E11" i="1"/>
  <c r="N11" i="1"/>
  <c r="M11" i="1" s="1"/>
  <c r="O11" i="1"/>
  <c r="J11" i="1" s="1"/>
  <c r="C11" i="1"/>
  <c r="H11" i="1"/>
  <c r="Q11" i="1"/>
  <c r="I11" i="1" s="1"/>
  <c r="E12" i="1"/>
  <c r="O12" i="1"/>
  <c r="J12" i="1" s="1"/>
  <c r="N12" i="1"/>
  <c r="M12" i="1" s="1"/>
  <c r="Q12" i="1"/>
  <c r="I12" i="1" s="1"/>
  <c r="C12" i="1"/>
  <c r="H12" i="1"/>
  <c r="O13" i="1"/>
  <c r="J13" i="1" s="1"/>
  <c r="N13" i="1"/>
  <c r="M13" i="1"/>
  <c r="E13" i="1"/>
  <c r="Q13" i="1"/>
  <c r="I13" i="1" s="1"/>
  <c r="H13" i="1"/>
  <c r="C13" i="1"/>
  <c r="C14" i="1"/>
  <c r="Q14" i="1"/>
  <c r="I14" i="1" s="1"/>
  <c r="H14" i="1"/>
  <c r="O14" i="1"/>
  <c r="J14" i="1" s="1"/>
  <c r="N14" i="1"/>
  <c r="M14" i="1"/>
  <c r="E14" i="1"/>
  <c r="H15" i="1"/>
  <c r="Q15" i="1"/>
  <c r="I15" i="1" s="1"/>
  <c r="C15" i="1"/>
  <c r="O15" i="1"/>
  <c r="J15" i="1" s="1"/>
  <c r="N15" i="1"/>
  <c r="M15" i="1"/>
  <c r="E15" i="1"/>
  <c r="E16" i="1"/>
  <c r="O16" i="1"/>
  <c r="J16" i="1" s="1"/>
  <c r="N16" i="1"/>
  <c r="M16" i="1"/>
  <c r="H16" i="1"/>
  <c r="Q16" i="1"/>
  <c r="I16" i="1" s="1"/>
  <c r="C16" i="1"/>
  <c r="C17" i="1"/>
  <c r="Q17" i="1"/>
  <c r="I17" i="1" s="1"/>
  <c r="H17" i="1"/>
  <c r="O17" i="1"/>
  <c r="J17" i="1" s="1"/>
  <c r="N17" i="1"/>
  <c r="M17" i="1"/>
  <c r="E17" i="1"/>
  <c r="E18" i="1"/>
  <c r="N18" i="1"/>
  <c r="M18" i="1" s="1"/>
  <c r="O18" i="1"/>
  <c r="J18" i="1" s="1"/>
  <c r="C18" i="1"/>
  <c r="H18" i="1"/>
  <c r="Q18" i="1"/>
  <c r="I18" i="1" s="1"/>
  <c r="C19" i="1"/>
  <c r="Q19" i="1"/>
  <c r="I19" i="1" s="1"/>
  <c r="H19" i="1"/>
  <c r="O19" i="1"/>
  <c r="J19" i="1" s="1"/>
  <c r="N19" i="1"/>
  <c r="M19" i="1"/>
  <c r="E19" i="1"/>
  <c r="O20" i="1"/>
  <c r="J20" i="1" s="1"/>
  <c r="N20" i="1"/>
  <c r="M20" i="1"/>
  <c r="E20" i="1"/>
  <c r="Q20" i="1"/>
  <c r="I20" i="1" s="1"/>
  <c r="C20" i="1"/>
  <c r="H20" i="1"/>
  <c r="E21" i="1"/>
  <c r="N21" i="1"/>
  <c r="M21" i="1" s="1"/>
  <c r="O21" i="1"/>
  <c r="J21" i="1" s="1"/>
  <c r="C21" i="1"/>
  <c r="H21" i="1"/>
  <c r="Q21" i="1"/>
  <c r="I21" i="1" s="1"/>
  <c r="E22" i="1"/>
  <c r="N22" i="1"/>
  <c r="M22" i="1" s="1"/>
  <c r="O22" i="1"/>
  <c r="J22" i="1" s="1"/>
  <c r="C22" i="1"/>
  <c r="H22" i="1"/>
  <c r="Q22" i="1"/>
  <c r="I22" i="1" s="1"/>
  <c r="E23" i="1"/>
  <c r="N23" i="1"/>
  <c r="M23" i="1" s="1"/>
  <c r="O23" i="1"/>
  <c r="J23" i="1" s="1"/>
  <c r="C23" i="1"/>
  <c r="H23" i="1"/>
  <c r="Q23" i="1"/>
  <c r="I23" i="1" s="1"/>
  <c r="E24" i="1"/>
  <c r="N24" i="1"/>
  <c r="M24" i="1" s="1"/>
  <c r="O24" i="1"/>
  <c r="J24" i="1" s="1"/>
  <c r="H24" i="1"/>
  <c r="C24" i="1"/>
  <c r="Q24" i="1"/>
  <c r="I24" i="1" s="1"/>
  <c r="N25" i="1"/>
  <c r="M25" i="1" s="1"/>
  <c r="O25" i="1"/>
  <c r="J25" i="1" s="1"/>
  <c r="E25" i="1"/>
  <c r="Q25" i="1"/>
  <c r="I25" i="1" s="1"/>
  <c r="C25" i="1"/>
  <c r="H25" i="1"/>
  <c r="Q26" i="1"/>
  <c r="I26" i="1" s="1"/>
  <c r="H26" i="1"/>
  <c r="C26" i="1"/>
  <c r="O26" i="1"/>
  <c r="J26" i="1" s="1"/>
  <c r="N26" i="1"/>
  <c r="M26" i="1" s="1"/>
  <c r="E26" i="1"/>
  <c r="O27" i="1"/>
  <c r="J27" i="1" s="1"/>
  <c r="N27" i="1"/>
  <c r="M27" i="1"/>
  <c r="E27" i="1"/>
  <c r="Q27" i="1"/>
  <c r="I27" i="1" s="1"/>
  <c r="C27" i="1"/>
  <c r="H27" i="1"/>
  <c r="O28" i="1"/>
  <c r="J28" i="1" s="1"/>
  <c r="E28" i="1"/>
  <c r="N28" i="1"/>
  <c r="M28" i="1"/>
  <c r="C28" i="1"/>
  <c r="H28" i="1"/>
  <c r="Q28" i="1"/>
  <c r="I28" i="1" s="1"/>
  <c r="E29" i="1"/>
  <c r="N29" i="1"/>
  <c r="M29" i="1" s="1"/>
  <c r="O29" i="1"/>
  <c r="J29" i="1" s="1"/>
  <c r="C29" i="1"/>
  <c r="H29" i="1"/>
  <c r="Q29" i="1"/>
  <c r="I29" i="1" s="1"/>
  <c r="H30" i="1"/>
  <c r="Q30" i="1"/>
  <c r="I30" i="1" s="1"/>
  <c r="C30" i="1"/>
  <c r="O30" i="1"/>
  <c r="J30" i="1" s="1"/>
  <c r="N30" i="1"/>
  <c r="M30" i="1" s="1"/>
  <c r="E30" i="1"/>
  <c r="Q31" i="1"/>
  <c r="I31" i="1" s="1"/>
  <c r="C31" i="1"/>
  <c r="H31" i="1"/>
  <c r="O31" i="1"/>
  <c r="J31" i="1" s="1"/>
  <c r="N31" i="1"/>
  <c r="M31" i="1"/>
  <c r="E31" i="1"/>
  <c r="E32" i="1"/>
  <c r="N32" i="1"/>
  <c r="M32" i="1" s="1"/>
  <c r="O32" i="1"/>
  <c r="J32" i="1" s="1"/>
  <c r="C32" i="1"/>
  <c r="H32" i="1"/>
  <c r="Q32" i="1"/>
  <c r="I32" i="1" s="1"/>
  <c r="E33" i="1"/>
  <c r="N33" i="1"/>
  <c r="M33" i="1" s="1"/>
  <c r="O33" i="1"/>
  <c r="J33" i="1" s="1"/>
  <c r="H33" i="1"/>
  <c r="C33" i="1"/>
  <c r="Q33" i="1"/>
  <c r="I33" i="1" s="1"/>
  <c r="O34" i="1"/>
  <c r="J34" i="1" s="1"/>
  <c r="E34" i="1"/>
  <c r="N34" i="1"/>
  <c r="M34" i="1" s="1"/>
  <c r="Q34" i="1"/>
  <c r="I34" i="1" s="1"/>
  <c r="C34" i="1"/>
  <c r="H34" i="1"/>
  <c r="C35" i="1"/>
  <c r="H35" i="1"/>
  <c r="Q35" i="1"/>
  <c r="I35" i="1" s="1"/>
  <c r="O35" i="1"/>
  <c r="J35" i="1" s="1"/>
  <c r="N35" i="1"/>
  <c r="M35" i="1" s="1"/>
  <c r="E35" i="1"/>
  <c r="C36" i="1"/>
  <c r="H36" i="1"/>
  <c r="Q36" i="1"/>
  <c r="I36" i="1" s="1"/>
  <c r="O36" i="1"/>
  <c r="J36" i="1" s="1"/>
  <c r="N36" i="1"/>
  <c r="M36" i="1"/>
  <c r="E36" i="1"/>
  <c r="E37" i="1"/>
  <c r="N37" i="1"/>
  <c r="M37" i="1" s="1"/>
  <c r="O37" i="1"/>
  <c r="J37" i="1" s="1"/>
  <c r="C37" i="1"/>
  <c r="Q37" i="1"/>
  <c r="I37" i="1" s="1"/>
  <c r="H37" i="1"/>
  <c r="E38" i="1"/>
  <c r="N38" i="1"/>
  <c r="M38" i="1" s="1"/>
  <c r="O38" i="1"/>
  <c r="J38" i="1" s="1"/>
  <c r="C38" i="1"/>
  <c r="Q38" i="1"/>
  <c r="I38" i="1" s="1"/>
  <c r="H38" i="1"/>
  <c r="E39" i="1"/>
  <c r="N39" i="1"/>
  <c r="M39" i="1" s="1"/>
  <c r="O39" i="1"/>
  <c r="J39" i="1" s="1"/>
  <c r="C39" i="1"/>
  <c r="H39" i="1"/>
  <c r="Q39" i="1"/>
  <c r="I39" i="1" s="1"/>
  <c r="O40" i="1"/>
  <c r="J40" i="1" s="1"/>
  <c r="E40" i="1"/>
  <c r="N40" i="1"/>
  <c r="M40" i="1" s="1"/>
  <c r="H40" i="1"/>
  <c r="C40" i="1"/>
  <c r="Q40" i="1"/>
  <c r="I40" i="1" s="1"/>
  <c r="Q41" i="1"/>
  <c r="I41" i="1" s="1"/>
  <c r="C41" i="1"/>
  <c r="H41" i="1"/>
  <c r="O41" i="1"/>
  <c r="J41" i="1" s="1"/>
  <c r="N41" i="1"/>
  <c r="M41" i="1"/>
  <c r="E41" i="1"/>
  <c r="E42" i="1"/>
  <c r="N42" i="1"/>
  <c r="M42" i="1"/>
  <c r="O42" i="1"/>
  <c r="J42" i="1" s="1"/>
  <c r="Q42" i="1"/>
  <c r="I42" i="1" s="1"/>
  <c r="C42" i="1"/>
  <c r="H42" i="1"/>
  <c r="O43" i="1"/>
  <c r="J43" i="1" s="1"/>
  <c r="E43" i="1"/>
  <c r="N43" i="1"/>
  <c r="M43" i="1" s="1"/>
  <c r="Q43" i="1"/>
  <c r="I43" i="1" s="1"/>
  <c r="H43" i="1"/>
  <c r="C43" i="1"/>
  <c r="N44" i="1"/>
  <c r="M44" i="1" s="1"/>
  <c r="E44" i="1"/>
  <c r="O44" i="1"/>
  <c r="J44" i="1" s="1"/>
  <c r="C44" i="1"/>
  <c r="H44" i="1"/>
  <c r="Q44" i="1"/>
  <c r="I44" i="1" s="1"/>
  <c r="N45" i="1"/>
  <c r="O45" i="1"/>
  <c r="J45" i="1" s="1"/>
  <c r="E45" i="1"/>
  <c r="M45" i="1"/>
  <c r="Q45" i="1"/>
  <c r="I45" i="1" s="1"/>
  <c r="H45" i="1"/>
  <c r="C45" i="1"/>
  <c r="E46" i="1"/>
  <c r="O46" i="1"/>
  <c r="J46" i="1" s="1"/>
  <c r="N46" i="1"/>
  <c r="M46" i="1"/>
  <c r="C46" i="1"/>
  <c r="Q46" i="1"/>
  <c r="I46" i="1" s="1"/>
  <c r="H46" i="1"/>
  <c r="N47" i="1"/>
  <c r="M47" i="1" s="1"/>
  <c r="O47" i="1"/>
  <c r="J47" i="1" s="1"/>
  <c r="E47" i="1"/>
  <c r="C47" i="1"/>
  <c r="Q47" i="1"/>
  <c r="I47" i="1" s="1"/>
  <c r="H47" i="1"/>
  <c r="E48" i="1"/>
  <c r="N48" i="1"/>
  <c r="M48" i="1" s="1"/>
  <c r="O48" i="1"/>
  <c r="J48" i="1" s="1"/>
  <c r="Q48" i="1"/>
  <c r="I48" i="1" s="1"/>
  <c r="C48" i="1"/>
  <c r="H48" i="1"/>
  <c r="N49" i="1"/>
  <c r="M49" i="1" s="1"/>
  <c r="E49" i="1"/>
  <c r="O49" i="1"/>
  <c r="J49" i="1" s="1"/>
  <c r="Q49" i="1"/>
  <c r="I49" i="1" s="1"/>
  <c r="H49" i="1"/>
  <c r="C49" i="1"/>
  <c r="E50" i="1"/>
  <c r="O50" i="1"/>
  <c r="J50" i="1" s="1"/>
  <c r="N50" i="1"/>
  <c r="M50" i="1" s="1"/>
  <c r="H50" i="1"/>
  <c r="Q50" i="1"/>
  <c r="I50" i="1" s="1"/>
  <c r="C50" i="1"/>
  <c r="H51" i="1"/>
  <c r="C51" i="1"/>
  <c r="Q51" i="1"/>
  <c r="I51" i="1" s="1"/>
  <c r="O51" i="1"/>
  <c r="J51" i="1" s="1"/>
  <c r="E51" i="1"/>
  <c r="N51" i="1"/>
  <c r="M51" i="1" s="1"/>
  <c r="O52" i="1"/>
  <c r="J52" i="1" s="1"/>
  <c r="N52" i="1"/>
  <c r="E52" i="1"/>
  <c r="M52" i="1"/>
  <c r="C52" i="1"/>
  <c r="H52" i="1"/>
  <c r="Q52" i="1"/>
  <c r="I52" i="1" s="1"/>
  <c r="E53" i="1"/>
  <c r="N53" i="1"/>
  <c r="M53" i="1" s="1"/>
  <c r="O53" i="1"/>
  <c r="J53" i="1" s="1"/>
  <c r="C53" i="1"/>
  <c r="H53" i="1"/>
  <c r="Q53" i="1"/>
  <c r="I53" i="1" s="1"/>
  <c r="E54" i="1"/>
  <c r="N54" i="1"/>
  <c r="M54" i="1" s="1"/>
  <c r="O54" i="1"/>
  <c r="J54" i="1" s="1"/>
  <c r="Q54" i="1"/>
  <c r="I54" i="1" s="1"/>
  <c r="H54" i="1"/>
  <c r="C54" i="1"/>
  <c r="H55" i="1"/>
  <c r="C55" i="1"/>
  <c r="Q55" i="1"/>
  <c r="I55" i="1" s="1"/>
  <c r="E55" i="1"/>
  <c r="N55" i="1"/>
  <c r="M55" i="1"/>
  <c r="O55" i="1"/>
  <c r="J55" i="1" s="1"/>
  <c r="O56" i="1"/>
  <c r="J56" i="1" s="1"/>
  <c r="E56" i="1"/>
  <c r="N56" i="1"/>
  <c r="M56" i="1"/>
  <c r="H56" i="1"/>
  <c r="Q56" i="1"/>
  <c r="I56" i="1" s="1"/>
  <c r="C56" i="1"/>
  <c r="O57" i="1"/>
  <c r="J57" i="1" s="1"/>
  <c r="N57" i="1"/>
  <c r="E57" i="1"/>
  <c r="M57" i="1"/>
  <c r="H57" i="1"/>
  <c r="Q57" i="1"/>
  <c r="I57" i="1" s="1"/>
  <c r="C57" i="1"/>
  <c r="N58" i="1"/>
  <c r="M58" i="1"/>
  <c r="E58" i="1"/>
  <c r="O58" i="1"/>
  <c r="J58" i="1" s="1"/>
  <c r="C58" i="1"/>
  <c r="H58" i="1"/>
  <c r="Q58" i="1"/>
  <c r="I58" i="1" s="1"/>
  <c r="Q59" i="1"/>
  <c r="I59" i="1" s="1"/>
  <c r="C59" i="1"/>
  <c r="H59" i="1"/>
  <c r="E59" i="1"/>
  <c r="O59" i="1"/>
  <c r="J59" i="1" s="1"/>
  <c r="N59" i="1"/>
  <c r="M59" i="1"/>
  <c r="E60" i="1"/>
  <c r="O60" i="1"/>
  <c r="J60" i="1" s="1"/>
  <c r="N60" i="1"/>
  <c r="M60" i="1" s="1"/>
  <c r="Q60" i="1"/>
  <c r="I60" i="1" s="1"/>
  <c r="C60" i="1"/>
  <c r="H60" i="1"/>
  <c r="O61" i="1"/>
  <c r="J61" i="1" s="1"/>
  <c r="E61" i="1"/>
  <c r="N61" i="1"/>
  <c r="M61" i="1" s="1"/>
  <c r="Q61" i="1"/>
  <c r="I61" i="1" s="1"/>
  <c r="H61" i="1"/>
  <c r="C61" i="1"/>
  <c r="N62" i="1"/>
  <c r="O62" i="1"/>
  <c r="J62" i="1" s="1"/>
  <c r="M62" i="1"/>
  <c r="Q63" i="1"/>
  <c r="I63" i="1" s="1"/>
  <c r="H63" i="1"/>
  <c r="C63" i="1"/>
  <c r="O63" i="1"/>
  <c r="J63" i="1" s="1"/>
  <c r="N63" i="1"/>
  <c r="M63" i="1"/>
  <c r="E63" i="1"/>
  <c r="O64" i="1"/>
  <c r="J64" i="1" s="1"/>
  <c r="N64" i="1"/>
  <c r="M64" i="1"/>
  <c r="E64" i="1"/>
  <c r="Q64" i="1"/>
  <c r="I64" i="1" s="1"/>
  <c r="H64" i="1"/>
  <c r="C64" i="1"/>
  <c r="H65" i="1"/>
  <c r="Q65" i="1"/>
  <c r="I65" i="1" s="1"/>
  <c r="C65" i="1"/>
  <c r="O65" i="1"/>
  <c r="J65" i="1" s="1"/>
  <c r="N65" i="1"/>
  <c r="M65" i="1" s="1"/>
  <c r="E65" i="1"/>
  <c r="Q66" i="1"/>
  <c r="I66" i="1" s="1"/>
  <c r="H66" i="1"/>
  <c r="C66" i="1"/>
  <c r="O66" i="1"/>
  <c r="J66" i="1" s="1"/>
  <c r="N66" i="1"/>
  <c r="M66" i="1"/>
  <c r="E66" i="1"/>
  <c r="E67" i="1"/>
  <c r="N67" i="1"/>
  <c r="M67" i="1" s="1"/>
  <c r="O67" i="1"/>
  <c r="J67" i="1" s="1"/>
  <c r="C67" i="1"/>
  <c r="H67" i="1"/>
  <c r="Q67" i="1"/>
  <c r="I67" i="1" s="1"/>
  <c r="E68" i="1"/>
  <c r="N68" i="1"/>
  <c r="M68" i="1" s="1"/>
  <c r="O68" i="1"/>
  <c r="J68" i="1" s="1"/>
  <c r="H68" i="1"/>
  <c r="C68" i="1"/>
  <c r="Q68" i="1"/>
  <c r="I68" i="1" s="1"/>
  <c r="O69" i="1"/>
  <c r="J69" i="1" s="1"/>
  <c r="E69" i="1"/>
  <c r="N69" i="1"/>
  <c r="M69" i="1" s="1"/>
  <c r="C69" i="1"/>
  <c r="Q69" i="1"/>
  <c r="I69" i="1" s="1"/>
  <c r="H69" i="1"/>
  <c r="Q70" i="1"/>
  <c r="I70" i="1" s="1"/>
  <c r="H70" i="1"/>
  <c r="C70" i="1"/>
  <c r="O70" i="1"/>
  <c r="J70" i="1" s="1"/>
  <c r="N70" i="1"/>
  <c r="M70" i="1"/>
  <c r="E70" i="1"/>
  <c r="E71" i="1"/>
  <c r="N71" i="1"/>
  <c r="M71" i="1" s="1"/>
  <c r="O71" i="1"/>
  <c r="J71" i="1" s="1"/>
  <c r="C71" i="1"/>
  <c r="H71" i="1"/>
  <c r="Q71" i="1"/>
  <c r="I71" i="1" s="1"/>
  <c r="E72" i="1"/>
  <c r="N72" i="1"/>
  <c r="M72" i="1" s="1"/>
  <c r="O72" i="1"/>
  <c r="J72" i="1" s="1"/>
  <c r="Q72" i="1"/>
  <c r="I72" i="1" s="1"/>
  <c r="H72" i="1"/>
  <c r="C72" i="1"/>
  <c r="O73" i="1"/>
  <c r="J73" i="1" s="1"/>
  <c r="N73" i="1"/>
  <c r="M73" i="1" s="1"/>
  <c r="E73" i="1"/>
  <c r="Q73" i="1"/>
  <c r="I73" i="1" s="1"/>
  <c r="H73" i="1"/>
  <c r="C73" i="1"/>
  <c r="E74" i="1"/>
  <c r="N74" i="1"/>
  <c r="M74" i="1" s="1"/>
  <c r="O74" i="1"/>
  <c r="J74" i="1" s="1"/>
  <c r="C74" i="1"/>
  <c r="H74" i="1"/>
  <c r="Q74" i="1"/>
  <c r="I74" i="1" s="1"/>
  <c r="O75" i="1"/>
  <c r="J75" i="1" s="1"/>
  <c r="E75" i="1"/>
  <c r="N75" i="1"/>
  <c r="M75" i="1" s="1"/>
  <c r="C75" i="1"/>
  <c r="H75" i="1"/>
  <c r="Q75" i="1"/>
  <c r="I75" i="1" s="1"/>
  <c r="N76" i="1"/>
  <c r="E76" i="1"/>
  <c r="M76" i="1"/>
  <c r="O76" i="1"/>
  <c r="J76" i="1" s="1"/>
  <c r="H76" i="1"/>
  <c r="C76" i="1"/>
  <c r="Q76" i="1"/>
  <c r="I76" i="1" s="1"/>
  <c r="E77" i="1"/>
  <c r="O77" i="1"/>
  <c r="J77" i="1" s="1"/>
  <c r="N77" i="1"/>
  <c r="M77" i="1" s="1"/>
  <c r="C77" i="1"/>
  <c r="H77" i="1"/>
  <c r="Q77" i="1"/>
  <c r="I77" i="1" s="1"/>
  <c r="N78" i="1"/>
  <c r="M78" i="1"/>
  <c r="E78" i="1"/>
  <c r="O78" i="1"/>
  <c r="J78" i="1" s="1"/>
  <c r="H78" i="1"/>
  <c r="C78" i="1"/>
  <c r="Q78" i="1"/>
  <c r="I78" i="1" s="1"/>
  <c r="N79" i="1"/>
  <c r="M79" i="1"/>
  <c r="O79" i="1"/>
  <c r="J79" i="1" s="1"/>
  <c r="E79" i="1"/>
  <c r="Q79" i="1"/>
  <c r="I79" i="1" s="1"/>
  <c r="H79" i="1"/>
  <c r="C79" i="1"/>
  <c r="N80" i="1"/>
  <c r="M80" i="1" s="1"/>
  <c r="O80" i="1"/>
  <c r="J80" i="1" s="1"/>
  <c r="E80" i="1"/>
  <c r="C80" i="1"/>
  <c r="H80" i="1"/>
  <c r="Q80" i="1"/>
  <c r="I80" i="1" s="1"/>
  <c r="E81" i="1"/>
  <c r="N81" i="1"/>
  <c r="M81" i="1" s="1"/>
  <c r="O81" i="1"/>
  <c r="J81" i="1" s="1"/>
  <c r="C81" i="1"/>
  <c r="H81" i="1"/>
  <c r="Q81" i="1"/>
  <c r="I81" i="1" s="1"/>
  <c r="O82" i="1"/>
  <c r="J82" i="1" s="1"/>
  <c r="E82" i="1"/>
  <c r="N82" i="1"/>
  <c r="M82" i="1" s="1"/>
  <c r="H82" i="1"/>
  <c r="Q82" i="1"/>
  <c r="I82" i="1" s="1"/>
  <c r="C82" i="1"/>
  <c r="E83" i="1"/>
  <c r="N83" i="1"/>
  <c r="M83" i="1" s="1"/>
  <c r="O83" i="1"/>
  <c r="J83" i="1" s="1"/>
  <c r="C83" i="1"/>
  <c r="H83" i="1"/>
  <c r="Q83" i="1"/>
  <c r="I83" i="1" s="1"/>
  <c r="O84" i="1"/>
  <c r="J84" i="1" s="1"/>
  <c r="E84" i="1"/>
  <c r="N84" i="1"/>
  <c r="M84" i="1" s="1"/>
  <c r="Q84" i="1"/>
  <c r="I84" i="1" s="1"/>
  <c r="C84" i="1"/>
  <c r="H84" i="1"/>
  <c r="O85" i="1"/>
  <c r="J85" i="1" s="1"/>
  <c r="E85" i="1"/>
  <c r="N85" i="1"/>
  <c r="M85" i="1" s="1"/>
  <c r="C85" i="1"/>
  <c r="H85" i="1"/>
  <c r="Q85" i="1"/>
  <c r="I85" i="1" s="1"/>
  <c r="E86" i="1"/>
  <c r="N86" i="1"/>
  <c r="M86" i="1" s="1"/>
  <c r="O86" i="1"/>
  <c r="J86" i="1" s="1"/>
  <c r="C86" i="1"/>
  <c r="H86" i="1"/>
  <c r="Q86" i="1"/>
  <c r="I86" i="1" s="1"/>
  <c r="E87" i="1"/>
  <c r="N87" i="1"/>
  <c r="M87" i="1" s="1"/>
  <c r="O87" i="1"/>
  <c r="J87" i="1" s="1"/>
  <c r="C87" i="1"/>
  <c r="H87" i="1"/>
  <c r="Q87" i="1"/>
  <c r="I87" i="1" s="1"/>
  <c r="E88" i="1"/>
  <c r="N88" i="1"/>
  <c r="M88" i="1" s="1"/>
  <c r="O88" i="1"/>
  <c r="J88" i="1" s="1"/>
  <c r="C88" i="1"/>
  <c r="H88" i="1"/>
  <c r="Q88" i="1"/>
  <c r="I88" i="1" s="1"/>
  <c r="E89" i="1"/>
  <c r="N89" i="1"/>
  <c r="M89" i="1" s="1"/>
  <c r="O89" i="1"/>
  <c r="J89" i="1" s="1"/>
  <c r="H89" i="1"/>
  <c r="C89" i="1"/>
  <c r="Q89" i="1"/>
  <c r="I89" i="1" s="1"/>
  <c r="E90" i="1"/>
  <c r="N90" i="1"/>
  <c r="M90" i="1" s="1"/>
  <c r="O90" i="1"/>
  <c r="J90" i="1" s="1"/>
  <c r="C90" i="1"/>
  <c r="H90" i="1"/>
  <c r="Q90" i="1"/>
  <c r="I90" i="1" s="1"/>
  <c r="E91" i="1"/>
  <c r="N91" i="1"/>
  <c r="M91" i="1" s="1"/>
  <c r="O91" i="1"/>
  <c r="J91" i="1" s="1"/>
  <c r="C91" i="1"/>
  <c r="H91" i="1"/>
  <c r="Q91" i="1"/>
  <c r="I91" i="1" s="1"/>
  <c r="E92" i="1"/>
  <c r="N92" i="1"/>
  <c r="M92" i="1" s="1"/>
  <c r="O92" i="1"/>
  <c r="J92" i="1" s="1"/>
  <c r="H92" i="1"/>
  <c r="C92" i="1"/>
  <c r="Q92" i="1"/>
  <c r="I92" i="1" s="1"/>
  <c r="O93" i="1"/>
  <c r="J93" i="1" s="1"/>
  <c r="E93" i="1"/>
  <c r="N93" i="1"/>
  <c r="M93" i="1" s="1"/>
  <c r="H93" i="1"/>
  <c r="C93" i="1"/>
  <c r="Q93" i="1"/>
  <c r="I93" i="1" s="1"/>
  <c r="E94" i="1"/>
  <c r="N94" i="1"/>
  <c r="M94" i="1" s="1"/>
  <c r="O94" i="1"/>
  <c r="J94" i="1" s="1"/>
  <c r="C94" i="1"/>
  <c r="H94" i="1"/>
  <c r="Q94" i="1"/>
  <c r="I94" i="1" s="1"/>
  <c r="E95" i="1"/>
  <c r="N95" i="1"/>
  <c r="M95" i="1" s="1"/>
  <c r="O95" i="1"/>
  <c r="J95" i="1" s="1"/>
  <c r="C95" i="1"/>
  <c r="H95" i="1"/>
  <c r="Q95" i="1"/>
  <c r="I95" i="1" s="1"/>
  <c r="O96" i="1"/>
  <c r="J96" i="1" s="1"/>
  <c r="E96" i="1"/>
  <c r="N96" i="1"/>
  <c r="M96" i="1" s="1"/>
  <c r="H96" i="1"/>
  <c r="C96" i="1"/>
  <c r="Q96" i="1"/>
  <c r="I96" i="1" s="1"/>
  <c r="E97" i="1"/>
  <c r="N97" i="1"/>
  <c r="M97" i="1" s="1"/>
  <c r="O97" i="1"/>
  <c r="J97" i="1" s="1"/>
  <c r="C97" i="1"/>
  <c r="H97" i="1"/>
  <c r="Q97" i="1"/>
  <c r="I97" i="1" s="1"/>
  <c r="E98" i="1"/>
  <c r="N98" i="1"/>
  <c r="M98" i="1" s="1"/>
  <c r="O98" i="1"/>
  <c r="J98" i="1" s="1"/>
  <c r="C98" i="1"/>
  <c r="H98" i="1"/>
  <c r="Q98" i="1"/>
  <c r="I98" i="1" s="1"/>
  <c r="N99" i="1"/>
  <c r="E99" i="1"/>
  <c r="O99" i="1"/>
  <c r="J99" i="1" s="1"/>
  <c r="M99" i="1"/>
  <c r="C99" i="1"/>
  <c r="H99" i="1"/>
  <c r="Q99" i="1"/>
  <c r="I99" i="1" s="1"/>
  <c r="E100" i="1"/>
  <c r="N100" i="1"/>
  <c r="M100" i="1" s="1"/>
  <c r="O100" i="1"/>
  <c r="J100" i="1" s="1"/>
  <c r="C100" i="1"/>
  <c r="H100" i="1"/>
  <c r="Q100" i="1"/>
  <c r="I100" i="1" s="1"/>
  <c r="E101" i="1"/>
  <c r="N101" i="1"/>
  <c r="M101" i="1" s="1"/>
  <c r="O101" i="1"/>
  <c r="J101" i="1" s="1"/>
  <c r="C101" i="1"/>
  <c r="H101" i="1"/>
  <c r="Q101" i="1"/>
  <c r="I101" i="1" s="1"/>
  <c r="O102" i="1"/>
  <c r="J102" i="1" s="1"/>
  <c r="E102" i="1"/>
  <c r="N102" i="1"/>
  <c r="M102" i="1"/>
  <c r="H102" i="1"/>
  <c r="C102" i="1"/>
  <c r="Q102" i="1"/>
  <c r="I102" i="1" s="1"/>
  <c r="E103" i="1"/>
  <c r="N103" i="1"/>
  <c r="M103" i="1" s="1"/>
  <c r="O103" i="1"/>
  <c r="J103" i="1" s="1"/>
  <c r="C103" i="1"/>
  <c r="H103" i="1"/>
  <c r="Q103" i="1"/>
  <c r="I103" i="1" s="1"/>
  <c r="E104" i="1"/>
  <c r="N104" i="1"/>
  <c r="M104" i="1" s="1"/>
  <c r="O104" i="1"/>
  <c r="J104" i="1" s="1"/>
  <c r="C104" i="1"/>
  <c r="H104" i="1"/>
  <c r="Q104" i="1"/>
  <c r="I104" i="1" s="1"/>
  <c r="E105" i="1"/>
  <c r="N105" i="1"/>
  <c r="M105" i="1" s="1"/>
  <c r="O105" i="1"/>
  <c r="J105" i="1" s="1"/>
  <c r="C105" i="1"/>
  <c r="H105" i="1"/>
  <c r="Q105" i="1"/>
  <c r="I105" i="1" s="1"/>
  <c r="N106" i="1"/>
  <c r="E106" i="1"/>
  <c r="O106" i="1"/>
  <c r="J106" i="1" s="1"/>
  <c r="M106" i="1"/>
  <c r="C106" i="1"/>
  <c r="H106" i="1"/>
  <c r="Q106" i="1"/>
  <c r="I106" i="1" s="1"/>
  <c r="E107" i="1"/>
  <c r="N107" i="1"/>
  <c r="M107" i="1" s="1"/>
  <c r="O107" i="1"/>
  <c r="J107" i="1" s="1"/>
  <c r="C107" i="1"/>
  <c r="H107" i="1"/>
  <c r="Q107" i="1"/>
  <c r="I107" i="1" s="1"/>
  <c r="E108" i="1"/>
  <c r="N108" i="1"/>
  <c r="M108" i="1" s="1"/>
  <c r="O108" i="1"/>
  <c r="J108" i="1" s="1"/>
  <c r="C108" i="1"/>
  <c r="H108" i="1"/>
  <c r="Q108" i="1"/>
  <c r="I108" i="1" s="1"/>
  <c r="E109" i="1"/>
  <c r="N109" i="1"/>
  <c r="M109" i="1" s="1"/>
  <c r="O109" i="1"/>
  <c r="J109" i="1" s="1"/>
  <c r="C109" i="1"/>
  <c r="H109" i="1"/>
  <c r="Q109" i="1"/>
  <c r="I109" i="1" s="1"/>
  <c r="E110" i="1"/>
  <c r="N110" i="1"/>
  <c r="M110" i="1" s="1"/>
  <c r="O110" i="1"/>
  <c r="J110" i="1" s="1"/>
  <c r="H110" i="1"/>
  <c r="C110" i="1"/>
  <c r="Q110" i="1"/>
  <c r="I110" i="1" s="1"/>
  <c r="E111" i="1"/>
  <c r="O111" i="1"/>
  <c r="J111" i="1" s="1"/>
  <c r="N111" i="1"/>
  <c r="M111" i="1"/>
  <c r="C111" i="1"/>
  <c r="H111" i="1"/>
  <c r="Q111" i="1"/>
  <c r="I111" i="1" s="1"/>
  <c r="E112" i="1"/>
  <c r="O112" i="1"/>
  <c r="J112" i="1" s="1"/>
  <c r="N112" i="1"/>
  <c r="M112" i="1"/>
  <c r="Q112" i="1"/>
  <c r="I112" i="1" s="1"/>
  <c r="H112" i="1"/>
  <c r="C112" i="1"/>
  <c r="O113" i="1"/>
  <c r="J113" i="1" s="1"/>
  <c r="N113" i="1"/>
  <c r="M113" i="1"/>
  <c r="E113" i="1"/>
  <c r="H113" i="1"/>
  <c r="C113" i="1"/>
  <c r="Q113" i="1"/>
  <c r="I113" i="1" s="1"/>
  <c r="E114" i="1"/>
  <c r="N114" i="1"/>
  <c r="M114" i="1" s="1"/>
  <c r="O114" i="1"/>
  <c r="J114" i="1" s="1"/>
  <c r="Q114" i="1"/>
  <c r="I114" i="1" s="1"/>
  <c r="H114" i="1"/>
  <c r="C114" i="1"/>
  <c r="E115" i="1"/>
  <c r="O115" i="1"/>
  <c r="J115" i="1" s="1"/>
  <c r="N115" i="1"/>
  <c r="M115" i="1" s="1"/>
  <c r="C115" i="1"/>
  <c r="H115" i="1"/>
  <c r="Q115" i="1"/>
  <c r="I115" i="1" s="1"/>
  <c r="O116" i="1"/>
  <c r="J116" i="1" s="1"/>
  <c r="E116" i="1"/>
  <c r="N116" i="1"/>
  <c r="M116" i="1" s="1"/>
  <c r="Q116" i="1"/>
  <c r="I116" i="1" s="1"/>
  <c r="C116" i="1"/>
  <c r="H116" i="1"/>
  <c r="O117" i="1"/>
  <c r="J117" i="1" s="1"/>
  <c r="N117" i="1"/>
  <c r="M117" i="1"/>
  <c r="E117" i="1"/>
  <c r="Q117" i="1"/>
  <c r="I117" i="1" s="1"/>
  <c r="C117" i="1"/>
  <c r="H117" i="1"/>
  <c r="N118" i="1"/>
  <c r="M118" i="1"/>
  <c r="E118" i="1"/>
  <c r="O118" i="1"/>
  <c r="J118" i="1" s="1"/>
  <c r="H118" i="1"/>
  <c r="C118" i="1"/>
  <c r="Q118" i="1"/>
  <c r="I118" i="1" s="1"/>
  <c r="O119" i="1"/>
  <c r="J119" i="1" s="1"/>
  <c r="N119" i="1"/>
  <c r="E119" i="1"/>
  <c r="M119" i="1"/>
  <c r="Q119" i="1"/>
  <c r="I119" i="1" s="1"/>
  <c r="H119" i="1"/>
  <c r="C119" i="1"/>
  <c r="E120" i="1"/>
  <c r="N120" i="1"/>
  <c r="M120" i="1" s="1"/>
  <c r="O120" i="1"/>
  <c r="J120" i="1" s="1"/>
  <c r="H120" i="1"/>
  <c r="Q120" i="1"/>
  <c r="I120" i="1" s="1"/>
  <c r="C120" i="1"/>
  <c r="E121" i="1"/>
  <c r="N121" i="1"/>
  <c r="M121" i="1" s="1"/>
  <c r="O121" i="1"/>
  <c r="J121" i="1" s="1"/>
  <c r="C121" i="1"/>
  <c r="H121" i="1"/>
  <c r="Q121" i="1"/>
  <c r="I121" i="1" s="1"/>
  <c r="N122" i="1"/>
  <c r="M122" i="1"/>
  <c r="O122" i="1"/>
  <c r="J122" i="1" s="1"/>
  <c r="E123" i="1"/>
  <c r="O123" i="1"/>
  <c r="J123" i="1" s="1"/>
  <c r="N123" i="1"/>
  <c r="M123" i="1" s="1"/>
  <c r="H123" i="1"/>
  <c r="C123" i="1"/>
  <c r="Q123" i="1"/>
  <c r="I123" i="1" s="1"/>
  <c r="N124" i="1"/>
  <c r="O124" i="1"/>
  <c r="J124" i="1" s="1"/>
  <c r="M124" i="1"/>
  <c r="E124" i="1"/>
  <c r="Q124" i="1"/>
  <c r="I124" i="1" s="1"/>
  <c r="C124" i="1"/>
  <c r="H124" i="1"/>
  <c r="N125" i="1"/>
  <c r="M125" i="1" s="1"/>
  <c r="O125" i="1"/>
  <c r="J125" i="1" s="1"/>
  <c r="E125" i="1"/>
  <c r="Q125" i="1"/>
  <c r="I125" i="1" s="1"/>
  <c r="H125" i="1"/>
  <c r="C125" i="1"/>
  <c r="O126" i="1"/>
  <c r="J126" i="1" s="1"/>
  <c r="E126" i="1"/>
  <c r="N126" i="1"/>
  <c r="M126" i="1"/>
  <c r="C126" i="1"/>
  <c r="H126" i="1"/>
  <c r="Q126" i="1"/>
  <c r="I126" i="1" s="1"/>
  <c r="E127" i="1"/>
  <c r="N127" i="1"/>
  <c r="M127" i="1" s="1"/>
  <c r="O127" i="1"/>
  <c r="J127" i="1" s="1"/>
  <c r="C127" i="1"/>
  <c r="H127" i="1"/>
  <c r="Q127" i="1"/>
  <c r="I127" i="1" s="1"/>
  <c r="E128" i="1"/>
  <c r="N128" i="1"/>
  <c r="M128" i="1"/>
  <c r="O128" i="1"/>
  <c r="J128" i="1" s="1"/>
  <c r="C128" i="1"/>
  <c r="H128" i="1"/>
  <c r="Q128" i="1"/>
  <c r="I128" i="1" s="1"/>
  <c r="E129" i="1"/>
  <c r="N129" i="1"/>
  <c r="M129" i="1" s="1"/>
  <c r="O129" i="1"/>
  <c r="J129" i="1" s="1"/>
  <c r="C129" i="1"/>
  <c r="H129" i="1"/>
  <c r="Q129" i="1"/>
  <c r="I129" i="1" s="1"/>
  <c r="E130" i="1"/>
  <c r="N130" i="1"/>
  <c r="M130" i="1" s="1"/>
  <c r="O130" i="1"/>
  <c r="J130" i="1" s="1"/>
  <c r="C130" i="1"/>
  <c r="H130" i="1"/>
  <c r="Q130" i="1"/>
  <c r="I130" i="1" s="1"/>
  <c r="E131" i="1"/>
  <c r="N131" i="1"/>
  <c r="M131" i="1" s="1"/>
  <c r="O131" i="1"/>
  <c r="J131" i="1" s="1"/>
  <c r="C131" i="1"/>
  <c r="H131" i="1"/>
  <c r="Q131" i="1"/>
  <c r="I131" i="1" s="1"/>
  <c r="O132" i="1"/>
  <c r="J132" i="1" s="1"/>
  <c r="E132" i="1"/>
  <c r="N132" i="1"/>
  <c r="M132" i="1" s="1"/>
  <c r="Q132" i="1"/>
  <c r="I132" i="1" s="1"/>
  <c r="H132" i="1"/>
  <c r="C132" i="1"/>
  <c r="N133" i="1"/>
  <c r="O133" i="1"/>
  <c r="J133" i="1" s="1"/>
  <c r="M133" i="1"/>
  <c r="E133" i="1"/>
  <c r="Q133" i="1"/>
  <c r="I133" i="1" s="1"/>
  <c r="H133" i="1"/>
  <c r="C133" i="1"/>
  <c r="O134" i="1"/>
  <c r="J134" i="1" s="1"/>
  <c r="N134" i="1"/>
  <c r="M134" i="1"/>
  <c r="E134" i="1"/>
  <c r="H134" i="1"/>
  <c r="C134" i="1"/>
  <c r="Q134" i="1"/>
  <c r="I134" i="1" s="1"/>
  <c r="E135" i="1"/>
  <c r="N135" i="1"/>
  <c r="M135" i="1" s="1"/>
  <c r="O135" i="1"/>
  <c r="J135" i="1" s="1"/>
  <c r="C135" i="1"/>
  <c r="H135" i="1"/>
  <c r="Q135" i="1"/>
  <c r="I135" i="1" s="1"/>
  <c r="O136" i="1"/>
  <c r="J136" i="1" s="1"/>
  <c r="E136" i="1"/>
  <c r="N136" i="1"/>
  <c r="M136" i="1" s="1"/>
  <c r="H136" i="1"/>
  <c r="Q136" i="1"/>
  <c r="I136" i="1" s="1"/>
  <c r="C136" i="1"/>
  <c r="E137" i="1"/>
  <c r="N137" i="1"/>
  <c r="O137" i="1"/>
  <c r="J137" i="1" s="1"/>
  <c r="M137" i="1"/>
  <c r="C137" i="1"/>
  <c r="H137" i="1"/>
  <c r="Q137" i="1"/>
  <c r="I137" i="1" s="1"/>
  <c r="O138" i="1"/>
  <c r="J138" i="1" s="1"/>
  <c r="N138" i="1"/>
  <c r="M138" i="1"/>
  <c r="E138" i="1"/>
  <c r="H138" i="1"/>
  <c r="Q138" i="1"/>
  <c r="I138" i="1" s="1"/>
  <c r="C138" i="1"/>
  <c r="O139" i="1"/>
  <c r="J139" i="1" s="1"/>
  <c r="N139" i="1"/>
  <c r="E139" i="1"/>
  <c r="M139" i="1"/>
  <c r="Q139" i="1"/>
  <c r="I139" i="1" s="1"/>
  <c r="C139" i="1"/>
  <c r="H139" i="1"/>
  <c r="E140" i="1"/>
  <c r="N140" i="1"/>
  <c r="M140" i="1" s="1"/>
  <c r="O140" i="1"/>
  <c r="J140" i="1" s="1"/>
  <c r="C140" i="1"/>
  <c r="H140" i="1"/>
  <c r="Q140" i="1"/>
  <c r="I140" i="1" s="1"/>
  <c r="E141" i="1"/>
  <c r="N141" i="1"/>
  <c r="M141" i="1" s="1"/>
  <c r="O141" i="1"/>
  <c r="J141" i="1" s="1"/>
  <c r="Q141" i="1"/>
  <c r="I141" i="1" s="1"/>
  <c r="C141" i="1"/>
  <c r="H141" i="1"/>
  <c r="O142" i="1"/>
  <c r="J142" i="1" s="1"/>
  <c r="N142" i="1"/>
  <c r="M142" i="1"/>
  <c r="E142" i="1"/>
  <c r="H142" i="1"/>
  <c r="Q142" i="1"/>
  <c r="I142" i="1" s="1"/>
  <c r="C142" i="1"/>
  <c r="E143" i="1"/>
  <c r="O143" i="1"/>
  <c r="J143" i="1" s="1"/>
  <c r="N143" i="1"/>
  <c r="M143" i="1"/>
  <c r="H143" i="1"/>
  <c r="C143" i="1"/>
  <c r="Q143" i="1"/>
  <c r="I143" i="1" s="1"/>
  <c r="O144" i="1"/>
  <c r="J144" i="1" s="1"/>
  <c r="N144" i="1"/>
  <c r="M144" i="1"/>
  <c r="E144" i="1"/>
  <c r="Q144" i="1"/>
  <c r="I144" i="1" s="1"/>
  <c r="H144" i="1"/>
  <c r="C144" i="1"/>
  <c r="E145" i="1"/>
  <c r="O145" i="1"/>
  <c r="J145" i="1" s="1"/>
  <c r="N145" i="1"/>
  <c r="M145" i="1" s="1"/>
  <c r="Q145" i="1"/>
  <c r="I145" i="1" s="1"/>
  <c r="C145" i="1"/>
  <c r="H145" i="1"/>
  <c r="O146" i="1"/>
  <c r="J146" i="1" s="1"/>
  <c r="N146" i="1"/>
  <c r="M146" i="1"/>
  <c r="E146" i="1"/>
  <c r="C146" i="1"/>
  <c r="Q146" i="1"/>
  <c r="I146" i="1" s="1"/>
  <c r="H146" i="1"/>
  <c r="O147" i="1"/>
  <c r="J147" i="1" s="1"/>
  <c r="N147" i="1"/>
  <c r="M147" i="1"/>
  <c r="E147" i="1"/>
  <c r="Q147" i="1"/>
  <c r="I147" i="1" s="1"/>
  <c r="H147" i="1"/>
  <c r="C147" i="1"/>
  <c r="E148" i="1"/>
  <c r="N148" i="1"/>
  <c r="O148" i="1"/>
  <c r="J148" i="1" s="1"/>
  <c r="M148" i="1"/>
  <c r="H148" i="1"/>
  <c r="C148" i="1"/>
  <c r="Q148" i="1"/>
  <c r="I148" i="1" s="1"/>
  <c r="O149" i="1"/>
  <c r="J149" i="1" s="1"/>
  <c r="N149" i="1"/>
  <c r="M149" i="1"/>
  <c r="E149" i="1"/>
  <c r="Q149" i="1"/>
  <c r="I149" i="1" s="1"/>
  <c r="H149" i="1"/>
  <c r="C149" i="1"/>
  <c r="E150" i="1"/>
  <c r="N150" i="1"/>
  <c r="M150" i="1"/>
  <c r="O150" i="1"/>
  <c r="J150" i="1" s="1"/>
  <c r="H150" i="1"/>
  <c r="Q150" i="1"/>
  <c r="I150" i="1" s="1"/>
  <c r="C150" i="1"/>
  <c r="O151" i="1"/>
  <c r="J151" i="1" s="1"/>
  <c r="E151" i="1"/>
  <c r="N151" i="1"/>
  <c r="M151" i="1" s="1"/>
  <c r="C151" i="1"/>
  <c r="Q151" i="1"/>
  <c r="I151" i="1" s="1"/>
  <c r="H151" i="1"/>
  <c r="E152" i="1"/>
  <c r="N152" i="1"/>
  <c r="M152" i="1" s="1"/>
  <c r="O152" i="1"/>
  <c r="J152" i="1" s="1"/>
  <c r="C152" i="1"/>
  <c r="H152" i="1"/>
  <c r="Q152" i="1"/>
  <c r="I152" i="1" s="1"/>
  <c r="N153" i="1"/>
  <c r="O153" i="1"/>
  <c r="J153" i="1" s="1"/>
  <c r="E153" i="1"/>
  <c r="M153" i="1"/>
  <c r="Q153" i="1"/>
  <c r="I153" i="1" s="1"/>
  <c r="H153" i="1"/>
  <c r="C153" i="1"/>
  <c r="O154" i="1"/>
  <c r="J154" i="1" s="1"/>
  <c r="N154" i="1"/>
  <c r="M154" i="1" s="1"/>
  <c r="E154" i="1"/>
  <c r="Q154" i="1"/>
  <c r="I154" i="1" s="1"/>
  <c r="C154" i="1"/>
  <c r="H154" i="1"/>
  <c r="E155" i="1"/>
  <c r="N155" i="1"/>
  <c r="M155" i="1" s="1"/>
  <c r="O155" i="1"/>
  <c r="J155" i="1" s="1"/>
  <c r="C155" i="1"/>
  <c r="H155" i="1"/>
  <c r="Q155" i="1"/>
  <c r="I155" i="1" s="1"/>
  <c r="E156" i="1"/>
  <c r="N156" i="1"/>
  <c r="M156" i="1" s="1"/>
  <c r="O156" i="1"/>
  <c r="J156" i="1" s="1"/>
  <c r="C156" i="1"/>
  <c r="H156" i="1"/>
  <c r="Q156" i="1"/>
  <c r="I156" i="1" s="1"/>
  <c r="E157" i="1"/>
  <c r="N157" i="1"/>
  <c r="M157" i="1" s="1"/>
  <c r="O157" i="1"/>
  <c r="J157" i="1" s="1"/>
  <c r="C157" i="1"/>
  <c r="H157" i="1"/>
  <c r="Q157" i="1"/>
  <c r="I157" i="1" s="1"/>
  <c r="E158" i="1"/>
  <c r="N158" i="1"/>
  <c r="M158" i="1" s="1"/>
  <c r="O158" i="1"/>
  <c r="J158" i="1" s="1"/>
  <c r="C158" i="1"/>
  <c r="H158" i="1"/>
  <c r="Q158" i="1"/>
  <c r="I158" i="1" s="1"/>
  <c r="N159" i="1"/>
  <c r="M159" i="1" s="1"/>
  <c r="O159" i="1"/>
  <c r="J159" i="1" s="1"/>
  <c r="E159" i="1"/>
  <c r="H159" i="1"/>
  <c r="C159" i="1"/>
  <c r="Q159" i="1"/>
  <c r="I159" i="1" s="1"/>
  <c r="E160" i="1"/>
  <c r="N160" i="1"/>
  <c r="M160" i="1" s="1"/>
  <c r="O160" i="1"/>
  <c r="J160" i="1" s="1"/>
  <c r="C160" i="1"/>
  <c r="H160" i="1"/>
  <c r="Q160" i="1"/>
  <c r="I160" i="1" s="1"/>
  <c r="O161" i="1"/>
  <c r="J161" i="1" s="1"/>
  <c r="N161" i="1"/>
  <c r="E161" i="1"/>
  <c r="M161" i="1"/>
  <c r="C161" i="1"/>
  <c r="Q161" i="1"/>
  <c r="I161" i="1" s="1"/>
  <c r="H161" i="1"/>
  <c r="E162" i="1"/>
  <c r="N162" i="1"/>
  <c r="O162" i="1"/>
  <c r="J162" i="1" s="1"/>
  <c r="M162" i="1"/>
  <c r="C162" i="1"/>
  <c r="H162" i="1"/>
  <c r="Q162" i="1"/>
  <c r="I162" i="1" s="1"/>
  <c r="E163" i="1"/>
  <c r="O163" i="1"/>
  <c r="J163" i="1" s="1"/>
  <c r="N163" i="1"/>
  <c r="M163" i="1" s="1"/>
  <c r="H163" i="1"/>
  <c r="C163" i="1"/>
  <c r="Q163" i="1"/>
  <c r="I163" i="1" s="1"/>
  <c r="E164" i="1"/>
  <c r="N164" i="1"/>
  <c r="M164" i="1" s="1"/>
  <c r="O164" i="1"/>
  <c r="J164" i="1" s="1"/>
  <c r="C164" i="1"/>
  <c r="H164" i="1"/>
  <c r="Q164" i="1"/>
  <c r="I164" i="1" s="1"/>
  <c r="E165" i="1"/>
  <c r="N165" i="1"/>
  <c r="M165" i="1" s="1"/>
  <c r="O165" i="1"/>
  <c r="J165" i="1" s="1"/>
  <c r="C165" i="1"/>
  <c r="H165" i="1"/>
  <c r="Q165" i="1"/>
  <c r="I165" i="1" s="1"/>
  <c r="E166" i="1"/>
  <c r="O166" i="1"/>
  <c r="J166" i="1" s="1"/>
  <c r="N166" i="1"/>
  <c r="M166" i="1" s="1"/>
  <c r="H166" i="1"/>
  <c r="Q166" i="1"/>
  <c r="I166" i="1" s="1"/>
  <c r="C166" i="1"/>
  <c r="E167" i="1"/>
  <c r="O167" i="1"/>
  <c r="J167" i="1" s="1"/>
  <c r="N167" i="1"/>
  <c r="M167" i="1"/>
  <c r="Q167" i="1"/>
  <c r="I167" i="1" s="1"/>
  <c r="C167" i="1"/>
  <c r="H167" i="1"/>
  <c r="N168" i="1"/>
  <c r="M168" i="1" s="1"/>
  <c r="E168" i="1"/>
  <c r="O168" i="1"/>
  <c r="J168" i="1" s="1"/>
  <c r="Q168" i="1"/>
  <c r="I168" i="1" s="1"/>
  <c r="H168" i="1"/>
  <c r="C168" i="1"/>
  <c r="N169" i="1"/>
  <c r="M169" i="1" s="1"/>
  <c r="E169" i="1"/>
  <c r="O169" i="1"/>
  <c r="J169" i="1" s="1"/>
  <c r="H169" i="1"/>
  <c r="C169" i="1"/>
  <c r="Q169" i="1"/>
  <c r="I169" i="1" s="1"/>
  <c r="O170" i="1"/>
  <c r="J170" i="1" s="1"/>
  <c r="E170" i="1"/>
  <c r="N170" i="1"/>
  <c r="M170" i="1" s="1"/>
  <c r="Q170" i="1"/>
  <c r="I170" i="1" s="1"/>
  <c r="C170" i="1"/>
  <c r="H170" i="1"/>
  <c r="O171" i="1"/>
  <c r="J171" i="1" s="1"/>
  <c r="N171" i="1"/>
  <c r="M171" i="1" s="1"/>
  <c r="E171" i="1"/>
  <c r="H171" i="1"/>
  <c r="Q171" i="1"/>
  <c r="I171" i="1" s="1"/>
  <c r="C171" i="1"/>
  <c r="N172" i="1"/>
  <c r="M172" i="1" s="1"/>
  <c r="E172" i="1"/>
  <c r="O172" i="1"/>
  <c r="J172" i="1" s="1"/>
  <c r="C172" i="1"/>
  <c r="H172" i="1"/>
  <c r="Q172" i="1"/>
  <c r="I172" i="1" s="1"/>
  <c r="N173" i="1"/>
  <c r="M173" i="1" s="1"/>
  <c r="E173" i="1"/>
  <c r="O173" i="1"/>
  <c r="J173" i="1" s="1"/>
  <c r="Q173" i="1"/>
  <c r="I173" i="1" s="1"/>
  <c r="H173" i="1"/>
  <c r="C173" i="1"/>
  <c r="E174" i="1"/>
  <c r="N174" i="1"/>
  <c r="M174" i="1" s="1"/>
  <c r="O174" i="1"/>
  <c r="J174" i="1" s="1"/>
  <c r="H174" i="1"/>
  <c r="C174" i="1"/>
  <c r="Q174" i="1"/>
  <c r="I174" i="1" s="1"/>
  <c r="N175" i="1"/>
  <c r="O175" i="1"/>
  <c r="J175" i="1" s="1"/>
  <c r="M175" i="1"/>
  <c r="E175" i="1"/>
  <c r="Q175" i="1"/>
  <c r="I175" i="1" s="1"/>
  <c r="H175" i="1"/>
  <c r="C175" i="1"/>
  <c r="O176" i="1"/>
  <c r="J176" i="1" s="1"/>
  <c r="N176" i="1"/>
  <c r="M176" i="1"/>
  <c r="E176" i="1"/>
  <c r="Q176" i="1"/>
  <c r="I176" i="1" s="1"/>
  <c r="H176" i="1"/>
  <c r="C176" i="1"/>
  <c r="N177" i="1"/>
  <c r="M177" i="1"/>
  <c r="E177" i="1"/>
  <c r="O177" i="1"/>
  <c r="J177" i="1" s="1"/>
  <c r="H177" i="1"/>
  <c r="Q177" i="1"/>
  <c r="I177" i="1" s="1"/>
  <c r="C177" i="1"/>
  <c r="O178" i="1"/>
  <c r="J178" i="1" s="1"/>
  <c r="N178" i="1"/>
  <c r="E178" i="1"/>
  <c r="M178" i="1"/>
  <c r="C178" i="1"/>
  <c r="H178" i="1"/>
  <c r="Q178" i="1"/>
  <c r="I178" i="1" s="1"/>
  <c r="E179" i="1"/>
  <c r="O179" i="1"/>
  <c r="J179" i="1" s="1"/>
  <c r="N179" i="1"/>
  <c r="M179" i="1" s="1"/>
  <c r="H179" i="1"/>
  <c r="Q179" i="1"/>
  <c r="I179" i="1" s="1"/>
  <c r="C179" i="1"/>
  <c r="E180" i="1"/>
  <c r="O180" i="1"/>
  <c r="J180" i="1" s="1"/>
  <c r="N180" i="1"/>
  <c r="M180" i="1" s="1"/>
  <c r="H180" i="1"/>
  <c r="C180" i="1"/>
  <c r="Q180" i="1"/>
  <c r="I180" i="1" s="1"/>
  <c r="N181" i="1"/>
  <c r="E181" i="1"/>
  <c r="M181" i="1"/>
  <c r="O181" i="1"/>
  <c r="J181" i="1" s="1"/>
  <c r="H181" i="1"/>
  <c r="C181" i="1"/>
  <c r="Q181" i="1"/>
  <c r="I181" i="1" s="1"/>
  <c r="O182" i="1"/>
  <c r="J182" i="1" s="1"/>
  <c r="N182" i="1"/>
  <c r="E182" i="1"/>
  <c r="M182" i="1"/>
  <c r="E183" i="1"/>
  <c r="N183" i="1"/>
  <c r="M183" i="1" s="1"/>
  <c r="O183" i="1"/>
  <c r="J183" i="1" s="1"/>
  <c r="C183" i="1"/>
  <c r="H183" i="1"/>
  <c r="Q183" i="1"/>
  <c r="I183" i="1" s="1"/>
  <c r="E184" i="1"/>
  <c r="O184" i="1"/>
  <c r="J184" i="1" s="1"/>
  <c r="N184" i="1"/>
  <c r="M184" i="1" s="1"/>
  <c r="H184" i="1"/>
  <c r="C184" i="1"/>
  <c r="Q184" i="1"/>
  <c r="I184" i="1" s="1"/>
  <c r="E185" i="1"/>
  <c r="N185" i="1"/>
  <c r="M185" i="1" s="1"/>
  <c r="O185" i="1"/>
  <c r="J185" i="1" s="1"/>
  <c r="H185" i="1"/>
  <c r="Q185" i="1"/>
  <c r="I185" i="1" s="1"/>
  <c r="C185" i="1"/>
  <c r="O186" i="1"/>
  <c r="J186" i="1" s="1"/>
  <c r="E186" i="1"/>
  <c r="N186" i="1"/>
  <c r="M186" i="1" s="1"/>
  <c r="H186" i="1"/>
  <c r="C186" i="1"/>
  <c r="Q186" i="1"/>
  <c r="I186" i="1" s="1"/>
  <c r="E187" i="1"/>
  <c r="N187" i="1"/>
  <c r="M187" i="1" s="1"/>
  <c r="O187" i="1"/>
  <c r="J187" i="1" s="1"/>
  <c r="C187" i="1"/>
  <c r="H187" i="1"/>
  <c r="Q187" i="1"/>
  <c r="I187" i="1" s="1"/>
  <c r="E188" i="1"/>
  <c r="O188" i="1"/>
  <c r="J188" i="1" s="1"/>
  <c r="N188" i="1"/>
  <c r="M188" i="1" s="1"/>
  <c r="H188" i="1"/>
  <c r="C188" i="1"/>
  <c r="Q188" i="1"/>
  <c r="I188" i="1" s="1"/>
  <c r="E189" i="1"/>
  <c r="O189" i="1"/>
  <c r="J189" i="1" s="1"/>
  <c r="N189" i="1"/>
  <c r="M189" i="1"/>
  <c r="C189" i="1"/>
  <c r="H189" i="1"/>
  <c r="Q189" i="1"/>
  <c r="I189" i="1" s="1"/>
  <c r="O190" i="1"/>
  <c r="J190" i="1" s="1"/>
  <c r="N190" i="1"/>
  <c r="M190" i="1"/>
  <c r="E190" i="1"/>
  <c r="Q190" i="1"/>
  <c r="I190" i="1" s="1"/>
  <c r="H190" i="1"/>
  <c r="C190" i="1"/>
  <c r="N191" i="1"/>
  <c r="M191" i="1" s="1"/>
  <c r="E191" i="1"/>
  <c r="O191" i="1"/>
  <c r="J191" i="1" s="1"/>
  <c r="H191" i="1"/>
  <c r="Q191" i="1"/>
  <c r="I191" i="1" s="1"/>
  <c r="C191" i="1"/>
  <c r="E192" i="1"/>
  <c r="O192" i="1"/>
  <c r="J192" i="1" s="1"/>
  <c r="N192" i="1"/>
  <c r="M192" i="1" s="1"/>
  <c r="C192" i="1"/>
  <c r="H192" i="1"/>
  <c r="Q192" i="1"/>
  <c r="I192" i="1" s="1"/>
  <c r="E193" i="1"/>
  <c r="N193" i="1"/>
  <c r="M193" i="1"/>
  <c r="O193" i="1"/>
  <c r="J193" i="1" s="1"/>
  <c r="Q193" i="1"/>
  <c r="I193" i="1" s="1"/>
  <c r="C193" i="1"/>
  <c r="H193" i="1"/>
  <c r="E194" i="1"/>
  <c r="O194" i="1"/>
  <c r="J194" i="1" s="1"/>
  <c r="N194" i="1"/>
  <c r="M194" i="1" s="1"/>
  <c r="C194" i="1"/>
  <c r="Q194" i="1"/>
  <c r="I194" i="1" s="1"/>
  <c r="H194" i="1"/>
  <c r="N195" i="1"/>
  <c r="O195" i="1"/>
  <c r="J195" i="1" s="1"/>
  <c r="E195" i="1"/>
  <c r="M195" i="1"/>
  <c r="Q195" i="1"/>
  <c r="I195" i="1" s="1"/>
  <c r="C195" i="1"/>
  <c r="H195" i="1"/>
  <c r="N196" i="1"/>
  <c r="M196" i="1" s="1"/>
  <c r="O196" i="1"/>
  <c r="J196" i="1" s="1"/>
  <c r="E196" i="1"/>
  <c r="C196" i="1"/>
  <c r="H196" i="1"/>
  <c r="Q196" i="1"/>
  <c r="I196" i="1" s="1"/>
  <c r="E197" i="1"/>
  <c r="N197" i="1"/>
  <c r="M197" i="1" s="1"/>
  <c r="O197" i="1"/>
  <c r="J197" i="1" s="1"/>
  <c r="H197" i="1"/>
  <c r="C197" i="1"/>
  <c r="Q197" i="1"/>
  <c r="I197" i="1" s="1"/>
  <c r="E198" i="1"/>
  <c r="O198" i="1"/>
  <c r="J198" i="1" s="1"/>
  <c r="N198" i="1"/>
  <c r="M198" i="1" s="1"/>
  <c r="H198" i="1"/>
  <c r="C198" i="1"/>
  <c r="Q198" i="1"/>
  <c r="I198" i="1" s="1"/>
  <c r="O199" i="1"/>
  <c r="J199" i="1" s="1"/>
  <c r="N199" i="1"/>
  <c r="M199" i="1"/>
  <c r="E199" i="1"/>
  <c r="Q199" i="1"/>
  <c r="I199" i="1" s="1"/>
  <c r="H199" i="1"/>
  <c r="C199" i="1"/>
  <c r="O200" i="1"/>
  <c r="J200" i="1" s="1"/>
  <c r="N200" i="1"/>
  <c r="M200" i="1" s="1"/>
  <c r="E200" i="1"/>
  <c r="C200" i="1"/>
  <c r="Q200" i="1"/>
  <c r="I200" i="1" s="1"/>
  <c r="H200" i="1"/>
  <c r="E201" i="1"/>
  <c r="O201" i="1"/>
  <c r="J201" i="1" s="1"/>
  <c r="N201" i="1"/>
  <c r="M201" i="1" s="1"/>
  <c r="H201" i="1"/>
  <c r="C201" i="1"/>
  <c r="Q201" i="1"/>
  <c r="I201" i="1" s="1"/>
  <c r="O202" i="1"/>
  <c r="J202" i="1" s="1"/>
  <c r="E202" i="1"/>
  <c r="N202" i="1"/>
  <c r="M202" i="1" s="1"/>
  <c r="H202" i="1"/>
  <c r="C202" i="1"/>
  <c r="Q202" i="1"/>
  <c r="I202" i="1" s="1"/>
  <c r="N203" i="1"/>
  <c r="M203" i="1" s="1"/>
  <c r="O203" i="1"/>
  <c r="J203" i="1" s="1"/>
  <c r="E203" i="1"/>
  <c r="C203" i="1"/>
  <c r="H203" i="1"/>
  <c r="Q203" i="1"/>
  <c r="I203" i="1" s="1"/>
  <c r="N204" i="1"/>
  <c r="M204" i="1"/>
  <c r="E204" i="1"/>
  <c r="O204" i="1"/>
  <c r="J204" i="1" s="1"/>
  <c r="H204" i="1"/>
  <c r="C204" i="1"/>
  <c r="Q204" i="1"/>
  <c r="I204" i="1" s="1"/>
  <c r="O205" i="1"/>
  <c r="J205" i="1" s="1"/>
  <c r="N205" i="1"/>
  <c r="M205" i="1"/>
  <c r="E205" i="1"/>
  <c r="C205" i="1"/>
  <c r="Q205" i="1"/>
  <c r="I205" i="1" s="1"/>
  <c r="H205" i="1"/>
  <c r="E206" i="1"/>
  <c r="N206" i="1"/>
  <c r="M206" i="1" s="1"/>
  <c r="O206" i="1"/>
  <c r="J206" i="1" s="1"/>
  <c r="H206" i="1"/>
  <c r="C206" i="1"/>
  <c r="Q206" i="1"/>
  <c r="I206" i="1" s="1"/>
  <c r="N207" i="1"/>
  <c r="M207" i="1" s="1"/>
  <c r="O207" i="1"/>
  <c r="J207" i="1" s="1"/>
  <c r="E207" i="1"/>
  <c r="Q207" i="1"/>
  <c r="I207" i="1" s="1"/>
  <c r="H207" i="1"/>
  <c r="C207" i="1"/>
  <c r="Q208" i="1"/>
  <c r="I208" i="1" s="1"/>
  <c r="H208" i="1"/>
  <c r="C208" i="1"/>
  <c r="O208" i="1"/>
  <c r="J208" i="1" s="1"/>
  <c r="N208" i="1"/>
  <c r="M208" i="1"/>
  <c r="E208" i="1"/>
  <c r="C209" i="1"/>
  <c r="Q209" i="1"/>
  <c r="I209" i="1" s="1"/>
  <c r="H209" i="1"/>
  <c r="O209" i="1"/>
  <c r="J209" i="1" s="1"/>
  <c r="N209" i="1"/>
  <c r="M209" i="1"/>
  <c r="E209" i="1"/>
  <c r="C210" i="1"/>
  <c r="Q210" i="1"/>
  <c r="I210" i="1" s="1"/>
  <c r="H210" i="1"/>
  <c r="O210" i="1"/>
  <c r="J210" i="1" s="1"/>
  <c r="N210" i="1"/>
  <c r="M210" i="1"/>
  <c r="E210" i="1"/>
  <c r="C211" i="1"/>
  <c r="Q211" i="1"/>
  <c r="I211" i="1" s="1"/>
  <c r="H211" i="1"/>
  <c r="O211" i="1"/>
  <c r="J211" i="1" s="1"/>
  <c r="N211" i="1"/>
  <c r="M211" i="1"/>
  <c r="E211" i="1"/>
  <c r="E212" i="1"/>
  <c r="O212" i="1"/>
  <c r="J212" i="1" s="1"/>
  <c r="N212" i="1"/>
  <c r="M212" i="1"/>
  <c r="C212" i="1"/>
  <c r="H212" i="1"/>
  <c r="Q212" i="1"/>
  <c r="I212" i="1" s="1"/>
  <c r="N213" i="1"/>
  <c r="M213" i="1"/>
  <c r="E213" i="1"/>
  <c r="O213" i="1"/>
  <c r="J213" i="1" s="1"/>
  <c r="C213" i="1"/>
  <c r="H213" i="1"/>
  <c r="Q213" i="1"/>
  <c r="I213" i="1" s="1"/>
  <c r="L3" i="1" l="1"/>
  <c r="K3" i="1" s="1"/>
  <c r="F3" i="1"/>
  <c r="L4" i="1"/>
  <c r="K4" i="1" s="1"/>
  <c r="F4" i="1"/>
  <c r="G4" i="1"/>
  <c r="D4" i="1"/>
  <c r="L5" i="1"/>
  <c r="K5" i="1" s="1"/>
  <c r="F5" i="1"/>
  <c r="G5" i="1"/>
  <c r="D5" i="1"/>
  <c r="L6" i="1"/>
  <c r="K6" i="1" s="1"/>
  <c r="F6" i="1"/>
  <c r="G6" i="1"/>
  <c r="D6" i="1"/>
  <c r="L7" i="1"/>
  <c r="K7" i="1" s="1"/>
  <c r="F7" i="1"/>
  <c r="G7" i="1"/>
  <c r="D7" i="1"/>
  <c r="G8" i="1"/>
  <c r="D8" i="1"/>
  <c r="L8" i="1"/>
  <c r="K8" i="1" s="1"/>
  <c r="F8" i="1"/>
  <c r="L9" i="1"/>
  <c r="K9" i="1" s="1"/>
  <c r="F9" i="1"/>
  <c r="G9" i="1"/>
  <c r="D9" i="1"/>
  <c r="L10" i="1"/>
  <c r="K10" i="1" s="1"/>
  <c r="F10" i="1"/>
  <c r="G10" i="1"/>
  <c r="D10" i="1"/>
  <c r="L11" i="1"/>
  <c r="K11" i="1" s="1"/>
  <c r="F11" i="1"/>
  <c r="G11" i="1"/>
  <c r="D11" i="1"/>
  <c r="L12" i="1"/>
  <c r="K12" i="1" s="1"/>
  <c r="F12" i="1"/>
  <c r="G12" i="1"/>
  <c r="D12" i="1"/>
  <c r="L13" i="1"/>
  <c r="K13" i="1" s="1"/>
  <c r="F13" i="1"/>
  <c r="G13" i="1"/>
  <c r="D13" i="1"/>
  <c r="G14" i="1"/>
  <c r="D14" i="1"/>
  <c r="L14" i="1"/>
  <c r="K14" i="1" s="1"/>
  <c r="F14" i="1"/>
  <c r="G15" i="1"/>
  <c r="D15" i="1"/>
  <c r="L15" i="1"/>
  <c r="K15" i="1" s="1"/>
  <c r="F15" i="1"/>
  <c r="L16" i="1"/>
  <c r="K16" i="1" s="1"/>
  <c r="F16" i="1"/>
  <c r="G16" i="1"/>
  <c r="D16" i="1"/>
  <c r="G17" i="1"/>
  <c r="D17" i="1"/>
  <c r="L17" i="1"/>
  <c r="K17" i="1" s="1"/>
  <c r="F17" i="1"/>
  <c r="L18" i="1"/>
  <c r="K18" i="1" s="1"/>
  <c r="F18" i="1"/>
  <c r="G18" i="1"/>
  <c r="D18" i="1"/>
  <c r="G19" i="1"/>
  <c r="D19" i="1"/>
  <c r="L19" i="1"/>
  <c r="K19" i="1" s="1"/>
  <c r="F19" i="1"/>
  <c r="L20" i="1"/>
  <c r="K20" i="1" s="1"/>
  <c r="F20" i="1"/>
  <c r="G20" i="1"/>
  <c r="D20" i="1"/>
  <c r="L21" i="1"/>
  <c r="K21" i="1" s="1"/>
  <c r="F21" i="1"/>
  <c r="G21" i="1"/>
  <c r="D21" i="1"/>
  <c r="L22" i="1"/>
  <c r="K22" i="1" s="1"/>
  <c r="F22" i="1"/>
  <c r="G22" i="1"/>
  <c r="D22" i="1"/>
  <c r="L23" i="1"/>
  <c r="K23" i="1" s="1"/>
  <c r="F23" i="1"/>
  <c r="G23" i="1"/>
  <c r="D23" i="1"/>
  <c r="L24" i="1"/>
  <c r="K24" i="1" s="1"/>
  <c r="F24" i="1"/>
  <c r="G24" i="1"/>
  <c r="D24" i="1"/>
  <c r="L25" i="1"/>
  <c r="K25" i="1" s="1"/>
  <c r="F25" i="1"/>
  <c r="G25" i="1"/>
  <c r="D25" i="1"/>
  <c r="G26" i="1"/>
  <c r="D26" i="1"/>
  <c r="L26" i="1"/>
  <c r="K26" i="1" s="1"/>
  <c r="F26" i="1"/>
  <c r="L27" i="1"/>
  <c r="K27" i="1" s="1"/>
  <c r="F27" i="1"/>
  <c r="G27" i="1"/>
  <c r="D27" i="1"/>
  <c r="L28" i="1"/>
  <c r="K28" i="1" s="1"/>
  <c r="F28" i="1"/>
  <c r="G28" i="1"/>
  <c r="D28" i="1"/>
  <c r="L29" i="1"/>
  <c r="K29" i="1" s="1"/>
  <c r="F29" i="1"/>
  <c r="G29" i="1"/>
  <c r="D29" i="1"/>
  <c r="G30" i="1"/>
  <c r="D30" i="1"/>
  <c r="L30" i="1"/>
  <c r="K30" i="1" s="1"/>
  <c r="F30" i="1"/>
  <c r="G31" i="1"/>
  <c r="D31" i="1"/>
  <c r="L31" i="1"/>
  <c r="K31" i="1" s="1"/>
  <c r="F31" i="1"/>
  <c r="L32" i="1"/>
  <c r="K32" i="1" s="1"/>
  <c r="F32" i="1"/>
  <c r="G32" i="1"/>
  <c r="D32" i="1"/>
  <c r="L33" i="1"/>
  <c r="K33" i="1" s="1"/>
  <c r="F33" i="1"/>
  <c r="G33" i="1"/>
  <c r="D33" i="1"/>
  <c r="L34" i="1"/>
  <c r="K34" i="1" s="1"/>
  <c r="F34" i="1"/>
  <c r="G34" i="1"/>
  <c r="D34" i="1"/>
  <c r="G35" i="1"/>
  <c r="D35" i="1"/>
  <c r="L35" i="1"/>
  <c r="K35" i="1" s="1"/>
  <c r="F35" i="1"/>
  <c r="G36" i="1"/>
  <c r="D36" i="1"/>
  <c r="L36" i="1"/>
  <c r="K36" i="1" s="1"/>
  <c r="F36" i="1"/>
  <c r="L37" i="1"/>
  <c r="K37" i="1" s="1"/>
  <c r="F37" i="1"/>
  <c r="G37" i="1"/>
  <c r="D37" i="1"/>
  <c r="L38" i="1"/>
  <c r="K38" i="1" s="1"/>
  <c r="F38" i="1"/>
  <c r="G38" i="1"/>
  <c r="D38" i="1"/>
  <c r="L39" i="1"/>
  <c r="K39" i="1" s="1"/>
  <c r="F39" i="1"/>
  <c r="G39" i="1"/>
  <c r="D39" i="1"/>
  <c r="L40" i="1"/>
  <c r="K40" i="1" s="1"/>
  <c r="F40" i="1"/>
  <c r="G40" i="1"/>
  <c r="D40" i="1"/>
  <c r="G41" i="1"/>
  <c r="D41" i="1"/>
  <c r="L41" i="1"/>
  <c r="K41" i="1" s="1"/>
  <c r="F41" i="1"/>
  <c r="L42" i="1"/>
  <c r="K42" i="1" s="1"/>
  <c r="F42" i="1"/>
  <c r="G42" i="1"/>
  <c r="D42" i="1"/>
  <c r="F43" i="1"/>
  <c r="L43" i="1"/>
  <c r="K43" i="1" s="1"/>
  <c r="G43" i="1"/>
  <c r="D43" i="1"/>
  <c r="F44" i="1"/>
  <c r="L44" i="1"/>
  <c r="K44" i="1" s="1"/>
  <c r="G44" i="1"/>
  <c r="D44" i="1"/>
  <c r="F45" i="1"/>
  <c r="L45" i="1"/>
  <c r="K45" i="1" s="1"/>
  <c r="G45" i="1"/>
  <c r="D45" i="1"/>
  <c r="L46" i="1"/>
  <c r="K46" i="1" s="1"/>
  <c r="F46" i="1"/>
  <c r="D46" i="1"/>
  <c r="G46" i="1"/>
  <c r="L47" i="1"/>
  <c r="K47" i="1" s="1"/>
  <c r="F47" i="1"/>
  <c r="D47" i="1"/>
  <c r="G47" i="1"/>
  <c r="L48" i="1"/>
  <c r="K48" i="1" s="1"/>
  <c r="F48" i="1"/>
  <c r="G48" i="1"/>
  <c r="D48" i="1"/>
  <c r="L49" i="1"/>
  <c r="K49" i="1" s="1"/>
  <c r="F49" i="1"/>
  <c r="D49" i="1"/>
  <c r="G49" i="1"/>
  <c r="F50" i="1"/>
  <c r="L50" i="1"/>
  <c r="K50" i="1" s="1"/>
  <c r="G50" i="1"/>
  <c r="D50" i="1"/>
  <c r="D51" i="1"/>
  <c r="G51" i="1"/>
  <c r="L51" i="1"/>
  <c r="K51" i="1" s="1"/>
  <c r="F51" i="1"/>
  <c r="F52" i="1"/>
  <c r="L52" i="1"/>
  <c r="K52" i="1" s="1"/>
  <c r="G52" i="1"/>
  <c r="D52" i="1"/>
  <c r="F53" i="1"/>
  <c r="L53" i="1"/>
  <c r="K53" i="1" s="1"/>
  <c r="G53" i="1"/>
  <c r="D53" i="1"/>
  <c r="F54" i="1"/>
  <c r="L54" i="1"/>
  <c r="K54" i="1" s="1"/>
  <c r="D54" i="1"/>
  <c r="G54" i="1"/>
  <c r="D55" i="1"/>
  <c r="G55" i="1"/>
  <c r="L55" i="1"/>
  <c r="K55" i="1" s="1"/>
  <c r="F55" i="1"/>
  <c r="F56" i="1"/>
  <c r="L56" i="1"/>
  <c r="K56" i="1" s="1"/>
  <c r="D56" i="1"/>
  <c r="G56" i="1"/>
  <c r="L57" i="1"/>
  <c r="K57" i="1" s="1"/>
  <c r="F57" i="1"/>
  <c r="D57" i="1"/>
  <c r="G57" i="1"/>
  <c r="F58" i="1"/>
  <c r="L58" i="1"/>
  <c r="K58" i="1" s="1"/>
  <c r="D58" i="1"/>
  <c r="G58" i="1"/>
  <c r="D59" i="1"/>
  <c r="G59" i="1"/>
  <c r="L59" i="1"/>
  <c r="K59" i="1" s="1"/>
  <c r="F59" i="1"/>
  <c r="L60" i="1"/>
  <c r="K60" i="1" s="1"/>
  <c r="F60" i="1"/>
  <c r="D60" i="1"/>
  <c r="G60" i="1"/>
  <c r="L61" i="1"/>
  <c r="K61" i="1" s="1"/>
  <c r="F61" i="1"/>
  <c r="D61" i="1"/>
  <c r="G61" i="1"/>
  <c r="L62" i="1"/>
  <c r="K62" i="1" s="1"/>
  <c r="F62" i="1"/>
  <c r="G63" i="1"/>
  <c r="D63" i="1"/>
  <c r="L63" i="1"/>
  <c r="K63" i="1" s="1"/>
  <c r="F63" i="1"/>
  <c r="L64" i="1"/>
  <c r="K64" i="1" s="1"/>
  <c r="F64" i="1"/>
  <c r="G64" i="1"/>
  <c r="D64" i="1"/>
  <c r="G65" i="1"/>
  <c r="D65" i="1"/>
  <c r="L65" i="1"/>
  <c r="K65" i="1" s="1"/>
  <c r="F65" i="1"/>
  <c r="G66" i="1"/>
  <c r="D66" i="1"/>
  <c r="L66" i="1"/>
  <c r="K66" i="1" s="1"/>
  <c r="F66" i="1"/>
  <c r="L67" i="1"/>
  <c r="K67" i="1" s="1"/>
  <c r="F67" i="1"/>
  <c r="G67" i="1"/>
  <c r="D67" i="1"/>
  <c r="L68" i="1"/>
  <c r="K68" i="1" s="1"/>
  <c r="F68" i="1"/>
  <c r="G68" i="1"/>
  <c r="D68" i="1"/>
  <c r="L69" i="1"/>
  <c r="K69" i="1" s="1"/>
  <c r="F69" i="1"/>
  <c r="G69" i="1"/>
  <c r="D69" i="1"/>
  <c r="G70" i="1"/>
  <c r="D70" i="1"/>
  <c r="L70" i="1"/>
  <c r="K70" i="1" s="1"/>
  <c r="F70" i="1"/>
  <c r="L71" i="1"/>
  <c r="K71" i="1" s="1"/>
  <c r="F71" i="1"/>
  <c r="G71" i="1"/>
  <c r="D71" i="1"/>
  <c r="L72" i="1"/>
  <c r="K72" i="1" s="1"/>
  <c r="F72" i="1"/>
  <c r="G72" i="1"/>
  <c r="D72" i="1"/>
  <c r="L73" i="1"/>
  <c r="K73" i="1" s="1"/>
  <c r="F73" i="1"/>
  <c r="G73" i="1"/>
  <c r="D73" i="1"/>
  <c r="L74" i="1"/>
  <c r="K74" i="1" s="1"/>
  <c r="F74" i="1"/>
  <c r="G74" i="1"/>
  <c r="D74" i="1"/>
  <c r="L75" i="1"/>
  <c r="K75" i="1" s="1"/>
  <c r="F75" i="1"/>
  <c r="G75" i="1"/>
  <c r="D75" i="1"/>
  <c r="L76" i="1"/>
  <c r="K76" i="1" s="1"/>
  <c r="F76" i="1"/>
  <c r="G76" i="1"/>
  <c r="D76" i="1"/>
  <c r="L77" i="1"/>
  <c r="K77" i="1" s="1"/>
  <c r="F77" i="1"/>
  <c r="G77" i="1"/>
  <c r="D77" i="1"/>
  <c r="L78" i="1"/>
  <c r="K78" i="1" s="1"/>
  <c r="F78" i="1"/>
  <c r="G78" i="1"/>
  <c r="D78" i="1"/>
  <c r="L79" i="1"/>
  <c r="K79" i="1" s="1"/>
  <c r="F79" i="1"/>
  <c r="G79" i="1"/>
  <c r="D79" i="1"/>
  <c r="L80" i="1"/>
  <c r="K80" i="1" s="1"/>
  <c r="F80" i="1"/>
  <c r="G80" i="1"/>
  <c r="D80" i="1"/>
  <c r="L81" i="1"/>
  <c r="K81" i="1" s="1"/>
  <c r="F81" i="1"/>
  <c r="G81" i="1"/>
  <c r="D81" i="1"/>
  <c r="L82" i="1"/>
  <c r="K82" i="1" s="1"/>
  <c r="F82" i="1"/>
  <c r="G82" i="1"/>
  <c r="D82" i="1"/>
  <c r="L83" i="1"/>
  <c r="K83" i="1" s="1"/>
  <c r="F83" i="1"/>
  <c r="G83" i="1"/>
  <c r="D83" i="1"/>
  <c r="L84" i="1"/>
  <c r="K84" i="1" s="1"/>
  <c r="F84" i="1"/>
  <c r="G84" i="1"/>
  <c r="D84" i="1"/>
  <c r="L85" i="1"/>
  <c r="K85" i="1" s="1"/>
  <c r="F85" i="1"/>
  <c r="G85" i="1"/>
  <c r="D85" i="1"/>
  <c r="L86" i="1"/>
  <c r="K86" i="1" s="1"/>
  <c r="F86" i="1"/>
  <c r="G86" i="1"/>
  <c r="D86" i="1"/>
  <c r="L87" i="1"/>
  <c r="K87" i="1" s="1"/>
  <c r="F87" i="1"/>
  <c r="G87" i="1"/>
  <c r="D87" i="1"/>
  <c r="L88" i="1"/>
  <c r="K88" i="1" s="1"/>
  <c r="F88" i="1"/>
  <c r="G88" i="1"/>
  <c r="D88" i="1"/>
  <c r="L89" i="1"/>
  <c r="K89" i="1" s="1"/>
  <c r="F89" i="1"/>
  <c r="G89" i="1"/>
  <c r="D89" i="1"/>
  <c r="L90" i="1"/>
  <c r="K90" i="1" s="1"/>
  <c r="F90" i="1"/>
  <c r="G90" i="1"/>
  <c r="D90" i="1"/>
  <c r="L91" i="1"/>
  <c r="K91" i="1" s="1"/>
  <c r="F91" i="1"/>
  <c r="G91" i="1"/>
  <c r="D91" i="1"/>
  <c r="L92" i="1"/>
  <c r="K92" i="1" s="1"/>
  <c r="F92" i="1"/>
  <c r="G92" i="1"/>
  <c r="D92" i="1"/>
  <c r="L93" i="1"/>
  <c r="K93" i="1" s="1"/>
  <c r="F93" i="1"/>
  <c r="G93" i="1"/>
  <c r="D93" i="1"/>
  <c r="L94" i="1"/>
  <c r="K94" i="1" s="1"/>
  <c r="F94" i="1"/>
  <c r="G94" i="1"/>
  <c r="D94" i="1"/>
  <c r="L95" i="1"/>
  <c r="K95" i="1" s="1"/>
  <c r="F95" i="1"/>
  <c r="G95" i="1"/>
  <c r="D95" i="1"/>
  <c r="L96" i="1"/>
  <c r="K96" i="1" s="1"/>
  <c r="F96" i="1"/>
  <c r="G96" i="1"/>
  <c r="D96" i="1"/>
  <c r="L97" i="1"/>
  <c r="K97" i="1" s="1"/>
  <c r="F97" i="1"/>
  <c r="G97" i="1"/>
  <c r="D97" i="1"/>
  <c r="L98" i="1"/>
  <c r="K98" i="1" s="1"/>
  <c r="F98" i="1"/>
  <c r="G98" i="1"/>
  <c r="D98" i="1"/>
  <c r="L99" i="1"/>
  <c r="K99" i="1" s="1"/>
  <c r="F99" i="1"/>
  <c r="G99" i="1"/>
  <c r="D99" i="1"/>
  <c r="L100" i="1"/>
  <c r="K100" i="1" s="1"/>
  <c r="F100" i="1"/>
  <c r="G100" i="1"/>
  <c r="D100" i="1"/>
  <c r="L101" i="1"/>
  <c r="K101" i="1" s="1"/>
  <c r="F101" i="1"/>
  <c r="G101" i="1"/>
  <c r="D101" i="1"/>
  <c r="L102" i="1"/>
  <c r="K102" i="1" s="1"/>
  <c r="F102" i="1"/>
  <c r="G102" i="1"/>
  <c r="D102" i="1"/>
  <c r="L103" i="1"/>
  <c r="K103" i="1" s="1"/>
  <c r="F103" i="1"/>
  <c r="G103" i="1"/>
  <c r="D103" i="1"/>
  <c r="L104" i="1"/>
  <c r="K104" i="1" s="1"/>
  <c r="F104" i="1"/>
  <c r="G104" i="1"/>
  <c r="D104" i="1"/>
  <c r="L105" i="1"/>
  <c r="K105" i="1" s="1"/>
  <c r="F105" i="1"/>
  <c r="G105" i="1"/>
  <c r="D105" i="1"/>
  <c r="L106" i="1"/>
  <c r="K106" i="1" s="1"/>
  <c r="F106" i="1"/>
  <c r="G106" i="1"/>
  <c r="D106" i="1"/>
  <c r="L107" i="1"/>
  <c r="K107" i="1" s="1"/>
  <c r="F107" i="1"/>
  <c r="G107" i="1"/>
  <c r="D107" i="1"/>
  <c r="L108" i="1"/>
  <c r="K108" i="1" s="1"/>
  <c r="F108" i="1"/>
  <c r="G108" i="1"/>
  <c r="D108" i="1"/>
  <c r="L109" i="1"/>
  <c r="K109" i="1" s="1"/>
  <c r="F109" i="1"/>
  <c r="G109" i="1"/>
  <c r="D109" i="1"/>
  <c r="L110" i="1"/>
  <c r="K110" i="1" s="1"/>
  <c r="F110" i="1"/>
  <c r="G110" i="1"/>
  <c r="D110" i="1"/>
  <c r="L111" i="1"/>
  <c r="K111" i="1" s="1"/>
  <c r="F111" i="1"/>
  <c r="G111" i="1"/>
  <c r="D111" i="1"/>
  <c r="L112" i="1"/>
  <c r="K112" i="1" s="1"/>
  <c r="F112" i="1"/>
  <c r="G112" i="1"/>
  <c r="D112" i="1"/>
  <c r="L113" i="1"/>
  <c r="K113" i="1" s="1"/>
  <c r="F113" i="1"/>
  <c r="G113" i="1"/>
  <c r="D113" i="1"/>
  <c r="L114" i="1"/>
  <c r="K114" i="1" s="1"/>
  <c r="F114" i="1"/>
  <c r="G114" i="1"/>
  <c r="D114" i="1"/>
  <c r="L115" i="1"/>
  <c r="K115" i="1" s="1"/>
  <c r="F115" i="1"/>
  <c r="G115" i="1"/>
  <c r="D115" i="1"/>
  <c r="L116" i="1"/>
  <c r="K116" i="1" s="1"/>
  <c r="F116" i="1"/>
  <c r="G116" i="1"/>
  <c r="D116" i="1"/>
  <c r="L117" i="1"/>
  <c r="K117" i="1" s="1"/>
  <c r="F117" i="1"/>
  <c r="G117" i="1"/>
  <c r="D117" i="1"/>
  <c r="L118" i="1"/>
  <c r="K118" i="1" s="1"/>
  <c r="F118" i="1"/>
  <c r="G118" i="1"/>
  <c r="D118" i="1"/>
  <c r="L119" i="1"/>
  <c r="K119" i="1" s="1"/>
  <c r="F119" i="1"/>
  <c r="G119" i="1"/>
  <c r="D119" i="1"/>
  <c r="L120" i="1"/>
  <c r="K120" i="1" s="1"/>
  <c r="F120" i="1"/>
  <c r="G120" i="1"/>
  <c r="D120" i="1"/>
  <c r="L121" i="1"/>
  <c r="K121" i="1" s="1"/>
  <c r="F121" i="1"/>
  <c r="G121" i="1"/>
  <c r="D121" i="1"/>
  <c r="L122" i="1"/>
  <c r="K122" i="1" s="1"/>
  <c r="F122" i="1"/>
  <c r="L123" i="1"/>
  <c r="K123" i="1" s="1"/>
  <c r="F123" i="1"/>
  <c r="G123" i="1"/>
  <c r="D123" i="1"/>
  <c r="L124" i="1"/>
  <c r="K124" i="1" s="1"/>
  <c r="F124" i="1"/>
  <c r="G124" i="1"/>
  <c r="D124" i="1"/>
  <c r="L125" i="1"/>
  <c r="K125" i="1" s="1"/>
  <c r="F125" i="1"/>
  <c r="G125" i="1"/>
  <c r="D125" i="1"/>
  <c r="L126" i="1"/>
  <c r="K126" i="1" s="1"/>
  <c r="F126" i="1"/>
  <c r="G126" i="1"/>
  <c r="D126" i="1"/>
  <c r="L127" i="1"/>
  <c r="K127" i="1" s="1"/>
  <c r="F127" i="1"/>
  <c r="G127" i="1"/>
  <c r="D127" i="1"/>
  <c r="L128" i="1"/>
  <c r="K128" i="1" s="1"/>
  <c r="F128" i="1"/>
  <c r="G128" i="1"/>
  <c r="D128" i="1"/>
  <c r="L129" i="1"/>
  <c r="K129" i="1" s="1"/>
  <c r="F129" i="1"/>
  <c r="G129" i="1"/>
  <c r="D129" i="1"/>
  <c r="L130" i="1"/>
  <c r="K130" i="1" s="1"/>
  <c r="F130" i="1"/>
  <c r="G130" i="1"/>
  <c r="D130" i="1"/>
  <c r="L131" i="1"/>
  <c r="K131" i="1" s="1"/>
  <c r="F131" i="1"/>
  <c r="G131" i="1"/>
  <c r="D131" i="1"/>
  <c r="L132" i="1"/>
  <c r="K132" i="1" s="1"/>
  <c r="F132" i="1"/>
  <c r="G132" i="1"/>
  <c r="D132" i="1"/>
  <c r="L133" i="1"/>
  <c r="K133" i="1" s="1"/>
  <c r="F133" i="1"/>
  <c r="G133" i="1"/>
  <c r="D133" i="1"/>
  <c r="L134" i="1"/>
  <c r="K134" i="1" s="1"/>
  <c r="F134" i="1"/>
  <c r="G134" i="1"/>
  <c r="D134" i="1"/>
  <c r="L135" i="1"/>
  <c r="K135" i="1" s="1"/>
  <c r="F135" i="1"/>
  <c r="G135" i="1"/>
  <c r="D135" i="1"/>
  <c r="L136" i="1"/>
  <c r="K136" i="1" s="1"/>
  <c r="F136" i="1"/>
  <c r="G136" i="1"/>
  <c r="D136" i="1"/>
  <c r="L137" i="1"/>
  <c r="K137" i="1" s="1"/>
  <c r="F137" i="1"/>
  <c r="G137" i="1"/>
  <c r="D137" i="1"/>
  <c r="L138" i="1"/>
  <c r="K138" i="1" s="1"/>
  <c r="F138" i="1"/>
  <c r="G138" i="1"/>
  <c r="D138" i="1"/>
  <c r="L139" i="1"/>
  <c r="K139" i="1" s="1"/>
  <c r="F139" i="1"/>
  <c r="G139" i="1"/>
  <c r="D139" i="1"/>
  <c r="L140" i="1"/>
  <c r="K140" i="1" s="1"/>
  <c r="F140" i="1"/>
  <c r="G140" i="1"/>
  <c r="D140" i="1"/>
  <c r="L141" i="1"/>
  <c r="K141" i="1" s="1"/>
  <c r="F141" i="1"/>
  <c r="G141" i="1"/>
  <c r="D141" i="1"/>
  <c r="L142" i="1"/>
  <c r="K142" i="1" s="1"/>
  <c r="F142" i="1"/>
  <c r="G142" i="1"/>
  <c r="D142" i="1"/>
  <c r="L143" i="1"/>
  <c r="K143" i="1" s="1"/>
  <c r="F143" i="1"/>
  <c r="G143" i="1"/>
  <c r="D143" i="1"/>
  <c r="L144" i="1"/>
  <c r="K144" i="1" s="1"/>
  <c r="F144" i="1"/>
  <c r="G144" i="1"/>
  <c r="D144" i="1"/>
  <c r="L145" i="1"/>
  <c r="K145" i="1" s="1"/>
  <c r="F145" i="1"/>
  <c r="G145" i="1"/>
  <c r="D145" i="1"/>
  <c r="L146" i="1"/>
  <c r="K146" i="1" s="1"/>
  <c r="F146" i="1"/>
  <c r="G146" i="1"/>
  <c r="D146" i="1"/>
  <c r="L147" i="1"/>
  <c r="K147" i="1" s="1"/>
  <c r="F147" i="1"/>
  <c r="G147" i="1"/>
  <c r="D147" i="1"/>
  <c r="L148" i="1"/>
  <c r="K148" i="1" s="1"/>
  <c r="F148" i="1"/>
  <c r="G148" i="1"/>
  <c r="D148" i="1"/>
  <c r="L149" i="1"/>
  <c r="K149" i="1" s="1"/>
  <c r="F149" i="1"/>
  <c r="G149" i="1"/>
  <c r="D149" i="1"/>
  <c r="L150" i="1"/>
  <c r="K150" i="1" s="1"/>
  <c r="F150" i="1"/>
  <c r="G150" i="1"/>
  <c r="D150" i="1"/>
  <c r="L151" i="1"/>
  <c r="K151" i="1" s="1"/>
  <c r="F151" i="1"/>
  <c r="G151" i="1"/>
  <c r="D151" i="1"/>
  <c r="L152" i="1"/>
  <c r="K152" i="1" s="1"/>
  <c r="F152" i="1"/>
  <c r="G152" i="1"/>
  <c r="D152" i="1"/>
  <c r="L153" i="1"/>
  <c r="K153" i="1" s="1"/>
  <c r="F153" i="1"/>
  <c r="G153" i="1"/>
  <c r="D153" i="1"/>
  <c r="L154" i="1"/>
  <c r="K154" i="1" s="1"/>
  <c r="F154" i="1"/>
  <c r="G154" i="1"/>
  <c r="D154" i="1"/>
  <c r="L155" i="1"/>
  <c r="K155" i="1" s="1"/>
  <c r="F155" i="1"/>
  <c r="G155" i="1"/>
  <c r="D155" i="1"/>
  <c r="L156" i="1"/>
  <c r="K156" i="1" s="1"/>
  <c r="F156" i="1"/>
  <c r="G156" i="1"/>
  <c r="D156" i="1"/>
  <c r="L157" i="1"/>
  <c r="K157" i="1" s="1"/>
  <c r="F157" i="1"/>
  <c r="G157" i="1"/>
  <c r="D157" i="1"/>
  <c r="L158" i="1"/>
  <c r="K158" i="1" s="1"/>
  <c r="F158" i="1"/>
  <c r="G158" i="1"/>
  <c r="D158" i="1"/>
  <c r="L159" i="1"/>
  <c r="K159" i="1" s="1"/>
  <c r="F159" i="1"/>
  <c r="G159" i="1"/>
  <c r="D159" i="1"/>
  <c r="L160" i="1"/>
  <c r="K160" i="1" s="1"/>
  <c r="F160" i="1"/>
  <c r="G160" i="1"/>
  <c r="D160" i="1"/>
  <c r="L161" i="1"/>
  <c r="K161" i="1" s="1"/>
  <c r="F161" i="1"/>
  <c r="G161" i="1"/>
  <c r="D161" i="1"/>
  <c r="L162" i="1"/>
  <c r="K162" i="1" s="1"/>
  <c r="F162" i="1"/>
  <c r="G162" i="1"/>
  <c r="D162" i="1"/>
  <c r="L163" i="1"/>
  <c r="K163" i="1" s="1"/>
  <c r="F163" i="1"/>
  <c r="G163" i="1"/>
  <c r="D163" i="1"/>
  <c r="L164" i="1"/>
  <c r="K164" i="1" s="1"/>
  <c r="F164" i="1"/>
  <c r="G164" i="1"/>
  <c r="D164" i="1"/>
  <c r="L165" i="1"/>
  <c r="K165" i="1" s="1"/>
  <c r="F165" i="1"/>
  <c r="G165" i="1"/>
  <c r="D165" i="1"/>
  <c r="L166" i="1"/>
  <c r="K166" i="1" s="1"/>
  <c r="F166" i="1"/>
  <c r="G166" i="1"/>
  <c r="D166" i="1"/>
  <c r="L167" i="1"/>
  <c r="K167" i="1" s="1"/>
  <c r="F167" i="1"/>
  <c r="G167" i="1"/>
  <c r="D167" i="1"/>
  <c r="L168" i="1"/>
  <c r="K168" i="1" s="1"/>
  <c r="F168" i="1"/>
  <c r="G168" i="1"/>
  <c r="D168" i="1"/>
  <c r="L169" i="1"/>
  <c r="K169" i="1" s="1"/>
  <c r="F169" i="1"/>
  <c r="G169" i="1"/>
  <c r="D169" i="1"/>
  <c r="L170" i="1"/>
  <c r="K170" i="1" s="1"/>
  <c r="F170" i="1"/>
  <c r="G170" i="1"/>
  <c r="D170" i="1"/>
  <c r="L171" i="1"/>
  <c r="K171" i="1" s="1"/>
  <c r="F171" i="1"/>
  <c r="G171" i="1"/>
  <c r="D171" i="1"/>
  <c r="L172" i="1"/>
  <c r="K172" i="1" s="1"/>
  <c r="F172" i="1"/>
  <c r="G172" i="1"/>
  <c r="D172" i="1"/>
  <c r="L173" i="1"/>
  <c r="K173" i="1" s="1"/>
  <c r="F173" i="1"/>
  <c r="G173" i="1"/>
  <c r="D173" i="1"/>
  <c r="L174" i="1"/>
  <c r="K174" i="1" s="1"/>
  <c r="F174" i="1"/>
  <c r="G174" i="1"/>
  <c r="D174" i="1"/>
  <c r="L175" i="1"/>
  <c r="K175" i="1" s="1"/>
  <c r="F175" i="1"/>
  <c r="G175" i="1"/>
  <c r="D175" i="1"/>
  <c r="L176" i="1"/>
  <c r="K176" i="1" s="1"/>
  <c r="F176" i="1"/>
  <c r="G176" i="1"/>
  <c r="D176" i="1"/>
  <c r="L177" i="1"/>
  <c r="K177" i="1" s="1"/>
  <c r="F177" i="1"/>
  <c r="G177" i="1"/>
  <c r="D177" i="1"/>
  <c r="L178" i="1"/>
  <c r="K178" i="1" s="1"/>
  <c r="F178" i="1"/>
  <c r="G178" i="1"/>
  <c r="D178" i="1"/>
  <c r="L179" i="1"/>
  <c r="K179" i="1" s="1"/>
  <c r="F179" i="1"/>
  <c r="G179" i="1"/>
  <c r="D179" i="1"/>
  <c r="L180" i="1"/>
  <c r="K180" i="1" s="1"/>
  <c r="F180" i="1"/>
  <c r="G180" i="1"/>
  <c r="D180" i="1"/>
  <c r="F181" i="1"/>
  <c r="L181" i="1"/>
  <c r="K181" i="1" s="1"/>
  <c r="G181" i="1"/>
  <c r="D181" i="1"/>
  <c r="F182" i="1"/>
  <c r="L182" i="1"/>
  <c r="K182" i="1" s="1"/>
  <c r="L183" i="1"/>
  <c r="K183" i="1" s="1"/>
  <c r="F183" i="1"/>
  <c r="G183" i="1"/>
  <c r="D183" i="1"/>
  <c r="L184" i="1"/>
  <c r="K184" i="1" s="1"/>
  <c r="F184" i="1"/>
  <c r="G184" i="1"/>
  <c r="D184" i="1"/>
  <c r="L185" i="1"/>
  <c r="K185" i="1" s="1"/>
  <c r="F185" i="1"/>
  <c r="G185" i="1"/>
  <c r="D185" i="1"/>
  <c r="L186" i="1"/>
  <c r="K186" i="1" s="1"/>
  <c r="F186" i="1"/>
  <c r="G186" i="1"/>
  <c r="D186" i="1"/>
  <c r="L187" i="1"/>
  <c r="K187" i="1" s="1"/>
  <c r="F187" i="1"/>
  <c r="G187" i="1"/>
  <c r="D187" i="1"/>
  <c r="L188" i="1"/>
  <c r="K188" i="1" s="1"/>
  <c r="F188" i="1"/>
  <c r="G188" i="1"/>
  <c r="D188" i="1"/>
  <c r="L189" i="1"/>
  <c r="K189" i="1" s="1"/>
  <c r="F189" i="1"/>
  <c r="G189" i="1"/>
  <c r="D189" i="1"/>
  <c r="L190" i="1"/>
  <c r="K190" i="1" s="1"/>
  <c r="F190" i="1"/>
  <c r="G190" i="1"/>
  <c r="D190" i="1"/>
  <c r="L191" i="1"/>
  <c r="K191" i="1" s="1"/>
  <c r="F191" i="1"/>
  <c r="G191" i="1"/>
  <c r="D191" i="1"/>
  <c r="L192" i="1"/>
  <c r="K192" i="1" s="1"/>
  <c r="F192" i="1"/>
  <c r="G192" i="1"/>
  <c r="D192" i="1"/>
  <c r="L193" i="1"/>
  <c r="K193" i="1" s="1"/>
  <c r="F193" i="1"/>
  <c r="G193" i="1"/>
  <c r="D193" i="1"/>
  <c r="L194" i="1"/>
  <c r="K194" i="1" s="1"/>
  <c r="F194" i="1"/>
  <c r="G194" i="1"/>
  <c r="D194" i="1"/>
  <c r="L195" i="1"/>
  <c r="K195" i="1" s="1"/>
  <c r="F195" i="1"/>
  <c r="G195" i="1"/>
  <c r="D195" i="1"/>
  <c r="L196" i="1"/>
  <c r="K196" i="1" s="1"/>
  <c r="F196" i="1"/>
  <c r="G196" i="1"/>
  <c r="D196" i="1"/>
  <c r="L197" i="1"/>
  <c r="K197" i="1" s="1"/>
  <c r="F197" i="1"/>
  <c r="G197" i="1"/>
  <c r="D197" i="1"/>
  <c r="L198" i="1"/>
  <c r="K198" i="1" s="1"/>
  <c r="F198" i="1"/>
  <c r="G198" i="1"/>
  <c r="D198" i="1"/>
  <c r="L199" i="1"/>
  <c r="K199" i="1" s="1"/>
  <c r="F199" i="1"/>
  <c r="G199" i="1"/>
  <c r="D199" i="1"/>
  <c r="L200" i="1"/>
  <c r="K200" i="1" s="1"/>
  <c r="F200" i="1"/>
  <c r="G200" i="1"/>
  <c r="D200" i="1"/>
  <c r="L201" i="1"/>
  <c r="K201" i="1" s="1"/>
  <c r="F201" i="1"/>
  <c r="G201" i="1"/>
  <c r="D201" i="1"/>
  <c r="L202" i="1"/>
  <c r="K202" i="1" s="1"/>
  <c r="F202" i="1"/>
  <c r="G202" i="1"/>
  <c r="D202" i="1"/>
  <c r="L203" i="1"/>
  <c r="K203" i="1" s="1"/>
  <c r="F203" i="1"/>
  <c r="G203" i="1"/>
  <c r="D203" i="1"/>
  <c r="L204" i="1"/>
  <c r="K204" i="1" s="1"/>
  <c r="F204" i="1"/>
  <c r="G204" i="1"/>
  <c r="D204" i="1"/>
  <c r="L205" i="1"/>
  <c r="K205" i="1" s="1"/>
  <c r="F205" i="1"/>
  <c r="G205" i="1"/>
  <c r="D205" i="1"/>
  <c r="L206" i="1"/>
  <c r="K206" i="1" s="1"/>
  <c r="F206" i="1"/>
  <c r="G206" i="1"/>
  <c r="D206" i="1"/>
  <c r="L207" i="1"/>
  <c r="K207" i="1" s="1"/>
  <c r="F207" i="1"/>
  <c r="G207" i="1"/>
  <c r="D207" i="1"/>
  <c r="G208" i="1"/>
  <c r="D208" i="1"/>
  <c r="L208" i="1"/>
  <c r="K208" i="1" s="1"/>
  <c r="F208" i="1"/>
  <c r="G209" i="1"/>
  <c r="D209" i="1"/>
  <c r="L209" i="1"/>
  <c r="K209" i="1" s="1"/>
  <c r="F209" i="1"/>
  <c r="G210" i="1"/>
  <c r="D210" i="1"/>
  <c r="L210" i="1"/>
  <c r="K210" i="1" s="1"/>
  <c r="F210" i="1"/>
  <c r="G211" i="1"/>
  <c r="D211" i="1"/>
  <c r="L211" i="1"/>
  <c r="K211" i="1" s="1"/>
  <c r="F211" i="1"/>
  <c r="L212" i="1"/>
  <c r="K212" i="1" s="1"/>
  <c r="F212" i="1"/>
  <c r="G212" i="1"/>
  <c r="D212" i="1"/>
  <c r="L213" i="1"/>
  <c r="K213" i="1" s="1"/>
  <c r="F213" i="1"/>
  <c r="G213" i="1"/>
  <c r="D213" i="1"/>
</calcChain>
</file>

<file path=xl/sharedStrings.xml><?xml version="1.0" encoding="utf-8"?>
<sst xmlns="http://schemas.openxmlformats.org/spreadsheetml/2006/main" count="443" uniqueCount="427">
  <si>
    <t>DVR Lite Mini 1U H.265 de 4 canales y 1080p metalico
Compatible con la tecnología de detección de movimiento de todos los canales
Compresión de vídeo H.265 Pro+/H.265 Pro/H.265
Entradas de vídeo HDTVI/CVI/AHD/IP/CVBS
Audio por cable coaxial
Compatible con todos los canales de tecnología de audio bidireccional HDTVI
Entradas de cámara IP de hasta 5 canales</t>
  </si>
  <si>
    <t>DS-7204HGHI-M1/T</t>
  </si>
  <si>
    <t>DVR 4 CH 1080p DISCO DURO eSSD 960gb H265+ DISEÑO COMPACTO _x000D_
AcuSense</t>
  </si>
  <si>
    <t>iDS-E04HQHI-D</t>
  </si>
  <si>
    <t xml:space="preserve">DVR AcuSense de 32 canales, 4k lite, 2U, H.265 Protección perimetral basada en aprendizaje profundo Detección de movimiento basada en aprendizaje profundo 2.0 para todos los canales analógicos Compresión de vídeo H.265 Pro+/H.265 Pro/H.265/H.264+/H.264 Hasta 48 entradas de cámara IP y 8 interfaces SATA Capacidad de codificación de hasta 1080p a 15 fps Entradas de vídeo HDTVI/AHD/CVI/CVBS/IP Grabación activada por POS y superposición de información de POS. </t>
  </si>
  <si>
    <t>iDS-9032HUHI-M8/S</t>
  </si>
  <si>
    <t xml:space="preserve">DVR AcuSense de 32 canales, 1080p/3K , 2U, H.265 Protección perimetral basada en aprendizaje profundo Detección de movimiento basada en aprendizaje profundo 2.0 para todos los canales analógicos Compresión de vídeo H.265 Pro+/H.265 Pro/H.265/H.264+/H.264 Hasta 48 entradas de cámara IP y 8 interfaces SATA Capacidad de codificación de hasta 1080p a 15 fps Entradas de vídeo HDTVI/AHD/CVI/CVBS/IP Grabación activada por POS y superposición de información de POS. </t>
  </si>
  <si>
    <t>iDS-9032HQHI-M8/S</t>
  </si>
  <si>
    <t>DVR AcuSense de 16 canales, 5MP/ 8mp lite, 2U, Protección perimetral basada en aprendizaje profundo  etección de movimiento 2.0 basada en aprendizaje profundo para todos los canales analógicos Hasta 16 entradas de cámara analógica y 8 interfaces SATA Compresión de vídeo H.265 Pro+/H.265 Pro/H.265/H.264+/H.264 Capacidad de codificación de hasta 8 MP a 8 fps/5 MP a 12 fps  entradas de cámara de red de hasta 34 canales Entradas de vídeo HDTVI/AHD/CVI/CVBS/IP Grabación activada por POS y superposición de información de POS.</t>
  </si>
  <si>
    <t>iDS-9016HUHI-M8/S</t>
  </si>
  <si>
    <t>DVR 4 Megapixel / 16 Canales TURBOHD + 4 Canales IP / 8 Bahías de Disco Duro / 16 canales de Audio / Audio por Coaxitron / 16 Entradas de Alarma / Soporta POS</t>
  </si>
  <si>
    <t>iDS-8116HQHI-M8/S</t>
  </si>
  <si>
    <t>DVR 32CH TURBO 5MP 12TB H265+ ANALITICAS 8FPS A 12FPS HIKVISION AcuSense</t>
  </si>
  <si>
    <t>iDS-7332HUHI-M4/S</t>
  </si>
  <si>
    <t>DVR 4 Megapixel / 32 Canales TURBOHD + 16 Canales IP / 4 Bahías de Disco Duro / 4 Canales de Audio / Videoanalisis / 16 Entradas de Alarma</t>
  </si>
  <si>
    <t>iDS-7332HQHI-M4/S</t>
  </si>
  <si>
    <t>HIKPRO. DVR 16CH ACUSENSE (4 CH DETEC HUMANO/COCHE), 5 EN 1 (TVI, AHD, CVI, ANALÓG E IP) 8MPX, 2HDD 10TB (N.I.), 4 E AUDIO, 16E/4S ALARM, HDMI 4K,VGAYBNC</t>
  </si>
  <si>
    <t>iDS-7216HUHI-M2/X/4A+16/4ALM</t>
  </si>
  <si>
    <t>DVR AcuSense de 16 canales, 1080p, 1U, H.265 5 señales de entrada adaptativas (HDTVI/AHD/CVI/CVBS/IP)
Admite reconocimiento facial o reducción de falsas alarmas según un algoritmo de aprendizaje profundo.
Admite comparación de imágenes de rostros y búsqueda de imágenes de rostros.
Tecnología de compresión eficiente H.265 pro+ Capacidad de codificación hasta 3K/5M Lite a 12 fps 5 señales de entrada adaptativas (HDTVI/AHD/CVI/CVBS/IP) Se pueden conectar hasta 24 Cámaras de red Reconocimiento Facial</t>
  </si>
  <si>
    <t>iDS-7216HQHI-M2/FA</t>
  </si>
  <si>
    <t>DVR 8CH TURBO 8MP 2BAHIA/10TB H.265+  ANALITICAS 30FPS HDMI/VGA METAL  2nd Gen AcuSense HIKVISION</t>
  </si>
  <si>
    <t>iDS-7208HUHI-M2/S(C)</t>
  </si>
  <si>
    <t>Dvr 8mp/8 Canales, Acusense, Rec. Facial</t>
  </si>
  <si>
    <t>iDS-7208HUHI-M2/FA</t>
  </si>
  <si>
    <t>ACUSENSE  EVITA FALSAS ALARMAS) DVR 8 MEGAPIXEL  8 CANALES TURBOHD + 4 CANALES IP 1 BAHÍA DE DISCO DURO AUDIO POR COAXITRON  H.265+</t>
  </si>
  <si>
    <t>iDS-7208HUHI-M1/X</t>
  </si>
  <si>
    <t>DVR 8CH TURBO 8MP 1BAHIA/10TB H.265+  ANALITICAS 30FPS HDMI/VGA METAL  2nd Gen AcuSense HIKVISION ENTRADA Y SALIDA DE ALARMA</t>
  </si>
  <si>
    <t>iDS-7208HUHI-M1/S(C)/4A+8/4ALM</t>
  </si>
  <si>
    <t>DVR 8CH TURBO 8MP H265+ 15FPS HDMI/VGA HIKVISION AcuSense</t>
  </si>
  <si>
    <t>iDS-7208HTHI-M2/S(C)/4A+8/4ALM</t>
  </si>
  <si>
    <t>DVR ACUSENSE DE 8 CANALES, 1080P, 1U, H.265 REDUCCIÓN DE C21S,CAPACIDAD DE CODIFICACIÓN HASTA 3K/5M LITE A 12 FPS  HASTA 12 CÁMARAS DE RED.</t>
  </si>
  <si>
    <t>iDS-7208HQHI-M2/XT</t>
  </si>
  <si>
    <t>DVR AcuSense de 4 canales, 5 MP, 1U, H.265
DVR AcuSense 1U de 4 canales y 2 discos duros
Reducción de falsas alarmas mediante la clasificación de objetivos humanos y vehiculares basada en aprendizaje profundo
Tecnología de compresión eficiente H.265 pro+ Capacidad de codificación de hasta 8 MP lite a 15 fps, 5 MP a 12 fps 5 señales de entrada adaptativas (HDTVI/AHD/CVI/CVBS/IP) Se pueden conectar hasta 8 cámaras de red</t>
  </si>
  <si>
    <t>iDS-7204HUHI-M2/S(C)</t>
  </si>
  <si>
    <t>DVR AcuSense de 4 canales, 5 MP, 1U, H.265 2 discos duros de 1U Admite reducción de falsas alarmas basada en un algoritmo de aprendizaje profundo. Tecnología de compresión eficiente  .265 pro+ Capacidad de codificación hasta 4K a 7,5 fps/3K a 12 fps Se pueden conectar hasta 6 cámaras de red 5 señales de entrada adaptativas (HDTVI/AHD/CVI/CVBS/IP)</t>
  </si>
  <si>
    <t>iDS-7204HUHI-M2/FA(C)</t>
  </si>
  <si>
    <t>DVR 4CH TURBO 5MP 10TB H265+ DETECCION FACIAL ANALITICA 7,5FPS-12FPS HDMI/VGA AcuSense HIKVISION ENTRADA Y SALIDA DE ALARMA</t>
  </si>
  <si>
    <t>iDS-7204HUHI-M1/FA(C)/4A+4/1ALM</t>
  </si>
  <si>
    <t>DVR 8 CH 1080p DISCO DURO eSSD 960gb H265+ DISEÑO COMPACTO</t>
  </si>
  <si>
    <t>DS-E08HGHI-D</t>
  </si>
  <si>
    <t>DVR 4CH TURBO 4TB H265+ 30FPS HDMI/VGA HIKVISION AcuSense</t>
  </si>
  <si>
    <t>DS-7204HGHI-M1(C)</t>
  </si>
  <si>
    <t>CAMARA TURBO 8MP TURRET  0.01LUX EXIR IR 60m IP67 MOTORIZADA  LENTE VARIFOCAL  METAL HIKVISION</t>
  </si>
  <si>
    <t>DS-2CE79U1T-IT3ZF(2.7-13.5mm)</t>
  </si>
  <si>
    <t>CAMARA TURBO 1080P TURRET VARIFOCAL 0.01LUX DISTANCIA IR40m IP67 FRONTAL METALICA CUERPO PLASTICO</t>
  </si>
  <si>
    <t>DS-2CE79D0T-VFIT3F(2.7-13.5mm)(C)</t>
  </si>
  <si>
    <t>TURRET TURBOHD 4K (8Megapixeles) / Gran Angular 102º / Lente 3,6 mm / Exterior IP67 / IR EXIR de 60 mts / TVI-AHD-CVI-CVBS / dWDR</t>
  </si>
  <si>
    <t>DS-2CE78U1T-IT3F(3.6mm)</t>
  </si>
  <si>
    <t>TURRET TURBOHD 4K (8Megapixeles) / Gran Angular 102º / Lente 2.8 mm / Exterior IP67 / IR EXIR de 60 mts / TVI-AHD-CVI-CVBS / dWDR</t>
  </si>
  <si>
    <t>DS-2CE78U1T-IT3F(2.8mm)</t>
  </si>
  <si>
    <t>CAMARA TURBO 8MP TURRET  0.01LUX EXIR IR30m IP67 METAL HIKVISION</t>
  </si>
  <si>
    <t>DS-2CE78U1T-IT1F(2.8mm)</t>
  </si>
  <si>
    <t xml:space="preserve">Torreta fija con audio bidireccional de 3K con Alarma de luz intermitente </t>
  </si>
  <si>
    <t>DS-2CE78K0T-LXTS(2.8mm)</t>
  </si>
  <si>
    <t>Torreta fija con audio bidireccional de 3K</t>
  </si>
  <si>
    <t>DS-2CE78K0T-LTS(2.8mm)</t>
  </si>
  <si>
    <t xml:space="preserve">CAMARA TURBO 5MP TURRET  MICROFONO INCORPORADO  AUDIO COAXIAL 2.8  0.01 Lux/ F1.2  DNR EXIR 2.0  Smart IR 40m IR SEMI METALICA HIKVISION </t>
  </si>
  <si>
    <t>DS-2CE78H0T-IT3FS(2.8mm)</t>
  </si>
  <si>
    <t>CAMARA TURBO 5MP TURRET EXIR 0.01LUX 2.8 IR40m IP67 DIGITAL WDR SEMIMETALICA HIKVISION</t>
  </si>
  <si>
    <t>DS-2CE78H0T-IT3F(2.8mm)(C)</t>
  </si>
  <si>
    <t>CAMARA TURBO 5MP TURRET EXIR 0.01LUX 3.6 IR30m IP67 DIGITAL WDR SEMIMETALICA HIKVISION</t>
  </si>
  <si>
    <t>DS-2CE78H0T-IT1F(3.6mm)(C)</t>
  </si>
  <si>
    <t>CAMARA TURBO 8MP TURRET EXIR 0.01LUX EXIR IR30m IP67 PLASTICA HIKVISION</t>
  </si>
  <si>
    <t>DS-2CE76U1T-ITPF(2.8mm)</t>
  </si>
  <si>
    <t>CAMARA TURBO 8MP TURRET EXIR 0.01LUX  IR30M IP67 METAL HIKVISION</t>
  </si>
  <si>
    <t>DS-2CE76U1T-ITMF(2.8mm)</t>
  </si>
  <si>
    <t xml:space="preserve">CAMARA TURBO 5MP TURRET  MICROFONO INCORPORADO  AUDIO COAXIAL 2.8  0.01 Lux/ F1.2  DNR EXIR 2.0  Smart IR 20m IR PLASTICA HIKVISION </t>
  </si>
  <si>
    <t>DS-2CE76H0T-ITPFS(2.8mm)</t>
  </si>
  <si>
    <t>CAMARA TURBO 5MP TURRET EXIR 0.01LUX 3.6 IR20m IP67 PLASTICA HIKVISION</t>
  </si>
  <si>
    <t>DS-2CE76H0T-ITPF(3.6mm)(C)</t>
  </si>
  <si>
    <t>Turret TURBOHD 5 Megapixel / Gran Angular 85° / Lente 2.8 mm / 4 Tecnologías (TVI / AHD / CVI /CVBS) / 20 mts IR EXIR / Exterior IP67 / dWDR</t>
  </si>
  <si>
    <t>DS-2CE76H0T-ITPF(2.8mm)(C)</t>
  </si>
  <si>
    <t>Turret TURBOHD 5 Megapixel / Lente 2.8 mm / Audio por Coaxitron / 30 mts IR EXIR / Exterior IP67 / 4 Tecnologías / dWDR</t>
  </si>
  <si>
    <t>DS-2CE76H0T-ITMFS(2.8mm)</t>
  </si>
  <si>
    <t>CAMARA TURBO 5MP TURRET EXIR 2.0  0.01LUX IR30m  IP67 METALICA HIKVISION</t>
  </si>
  <si>
    <t>DS-2CE76H0T-ITMF(3.6mm)(C)</t>
  </si>
  <si>
    <t>CAMARA TURBO 5MP TURRET EXIR 2.0  0.01LUX IR30m  IP67 METALICA HIKVISION Resistente al agua y al polvo (IP67)  WDR real de 120 dB</t>
  </si>
  <si>
    <t>DS-2CE76H0T-ITMF(2.8mm)(C)</t>
  </si>
  <si>
    <t>Cámara de torreta fija de 2 MP para condiciones de luz ultrabaja</t>
  </si>
  <si>
    <t>DS-2CE76D3T-ITMF(2.8mm)</t>
  </si>
  <si>
    <t xml:space="preserve">CAMARA TURBO 1080P TURRET AUDIO COAXIAL  0.01 Lux/ F1.2  DNR EXIR 2.0  Smart IR 20m IR PLASTICA HIKVISION </t>
  </si>
  <si>
    <t>DS-2CE76D0T-ITPFS(3.6mm)</t>
  </si>
  <si>
    <t>Cámara de torreta fija para interiores de 2 MP EXIR 2.0: tecnología infrarroja avanzada con una distancia IR de 20 m 4 en 1 (4 señales conmutables TVI/AHD/CVI/CVBS).</t>
  </si>
  <si>
    <t>DS-2CE76D0T-ITPF(2.8mm)(C)</t>
  </si>
  <si>
    <t xml:space="preserve">CAMARA TURBO 1080P TURRET  MICROFONO INCORPORADO  AUDIO COAXIAL  0.01 Lux/ F1.2  DNR EXIR 2.0  Smart IR 30m IR METALICA HIKVISION </t>
  </si>
  <si>
    <t>DS-2CE76D0T-ITMFS(3.6mm)</t>
  </si>
  <si>
    <t>DS-2CE76D0T-ITMFS(2.8mm)</t>
  </si>
  <si>
    <t xml:space="preserve">CAMARA TURBO 1080P TURRET  3.6   0.01 Lux/ F1.2  DNR EXIR 2.0  Smart IR 30m IR IP67 METALICA NEGRA HIKVISION </t>
  </si>
  <si>
    <t>DS-2CE76D0T-ITMF(2.8mm)(C)</t>
  </si>
  <si>
    <t>CAMARA TURBO 4K TURRET   0.0005LUX F1.0 24/7 COLORVU  LUZ BLANCA 40M 3D DNR 130dB WDR IP67 SEMI METALICA HIKVISION</t>
  </si>
  <si>
    <t>DS-2CE72UF3T-E(2.8mm)</t>
  </si>
  <si>
    <t>[ColorVu] Turret TURBOHD 3K (5 Megapixel) / Micrófono Integrado / Lente 2.8 mm / Imagen a Color 24/7 / 20 mts Luz Blanca / Exterior IP67 / dWDR / 4 Tecnologías</t>
  </si>
  <si>
    <t>DS-2CE72KF3TP-DLS(180°)</t>
  </si>
  <si>
    <t>Cámara de torreta fija híbrida inteligente ColorVu 3K Resistente al agua y al polvo (IP67) Hasta 40 m de distancia IR/LED micrófono incorporado.</t>
  </si>
  <si>
    <t>DS-2CE72KF0T-LFS(2.8mm)</t>
  </si>
  <si>
    <t>Cámara de torreta fija con audio ColorVu de 2 MP</t>
  </si>
  <si>
    <t>DS-2CE72DF3T-FS(3.6mm)</t>
  </si>
  <si>
    <t>DS-2CE72DF3T-FS(2.8mm)</t>
  </si>
  <si>
    <t>CAMARA TURBO 1080P TURRET   0.0005LUX F1.0 24/7 COLORVU  LUZ BLANCA 40M 3D DNR 130dB WDR IP67 SEMI METALICA HIKVISION</t>
  </si>
  <si>
    <t>DS-2CE72DF3T-F(3.6mm)</t>
  </si>
  <si>
    <t>DS-2CE72DF3T-F(2.8mm)</t>
  </si>
  <si>
    <t xml:space="preserve">Luz híbrida inteligente de 2 MP con cámara de torreta fija ColorVu IP67 40 m </t>
  </si>
  <si>
    <t>DS-2CE72DF0T-LFS(2.8mm)</t>
  </si>
  <si>
    <t>CAMARA TURBO 1080P TURRET   0.001LUX F1.0   24/7 COLORVU  LUZ BLANCA 40M 3D DNR  DWDR IP67 LUZ BLANCA SEMIMETALICA HIKVISION AUDIO COAXIAL</t>
  </si>
  <si>
    <t>DS-2CE72DF0T-FS(2.8mm)</t>
  </si>
  <si>
    <t xml:space="preserve">Cámara de torreta fija para interiores con luz híbrida inteligente ColorVu 3K 20 m micrófono incorporado. </t>
  </si>
  <si>
    <t>DS-2CE70KF0T-LPFS(2.8mm)</t>
  </si>
  <si>
    <t>Torreta fija tipo bala PT con audio bidireccional y sirena de 3K</t>
  </si>
  <si>
    <t>DS-2CE70K0T-PTLXTS(2.8mm)</t>
  </si>
  <si>
    <t>Cámara de torreta fija con audio para interiores ColorVu de 2 MP  apertura de F1.0  tecnología WDR real de 130 dB  Lente focal fija de 3,6 mm  Hasta 20 m de distancia de luz blanca para imágenes nocturnas brillantes micrófono incorporado.</t>
  </si>
  <si>
    <t>DS-2CE70DF3T-PFS(3.6mm)</t>
  </si>
  <si>
    <t>Cámara de torreta fija con audio para interiores ColorVu de 2 MP  apertura de F1.0  tecnología WDR real de 130 dB  Lente focal fija de 2,8 mm  Hasta 20 m de distancia de luz blanca para imágenes nocturnas brillantes micrófono incorporado.</t>
  </si>
  <si>
    <t>DS-2CE70DF3T-PFS(2.8mm)</t>
  </si>
  <si>
    <t>Turret TURBOHD 2 Megapixel (1080p) / Imagen a color 24/7 / Lente 2.8 mm / Luz Blanca 20 mts / Exterior IP67 / WDR 130 dB / Micrófono Integrado</t>
  </si>
  <si>
    <t>DS-2CE70DF3T-MFS(2.8mm)</t>
  </si>
  <si>
    <t>CAMARA TUBO 2MP TURRET  0.01LUX F1.0 24/7 COLORVU LUZ BLANCA 20MTS 3D DNR DWDR UP67 PLASTICA HIKVISION AUDIO COAXIAL</t>
  </si>
  <si>
    <t>DS-2CE70DF0T-PFS(2.8mm)</t>
  </si>
  <si>
    <t>CAMARA TURBO 1080P TURRET   0.001LUX F1.0   24/7 COLORVU LUZ BLANCA 20M 3D DNR  DWDR IP67 PLASTICA HIKVISION</t>
  </si>
  <si>
    <t>DS-2CE70DF0T-PF(2.8mm)</t>
  </si>
  <si>
    <t>Cámara domo varifocal motorizada antivandálica 4K La lente enfoca automáticamente al acercar o alejar el zoom. EXIR 2.0: tecnología infrarroja avanzada con una distancia IR de 60 m Resistente al agua y al polvo (IP67) y a prueba de vandalismo (IK10)</t>
  </si>
  <si>
    <t>DS-2CE5AU1T-VPIT3ZF(2.7-13.5mm)</t>
  </si>
  <si>
    <t>Domo TURBOHD 4K (8 Megapixel) / Lente Mot. 2.7 a 13.5 mm / 40 mts IR EXIR / IP67 / 12 Vcc / 24 VCA / TVI-AHD-CVI-CVBS / 9 a 15 Vcc</t>
  </si>
  <si>
    <t>DS-2CE5AU1T-AVPIT3ZF(2.7-13.5mm)</t>
  </si>
  <si>
    <t>CAMARA TURBO 5MP DOMO 0.01LUX 2.7 IR40m IP67 IK10 METALICA HIKVISION</t>
  </si>
  <si>
    <t>DS-2CE5AH0T-AVPIT3ZF/2.7-13.5mm/C</t>
  </si>
  <si>
    <t>CAMARA TURBO 8MP DOMO  0.01LUX EXIR IR60m IP67  MOTORIZADA METAL HIKVISION</t>
  </si>
  <si>
    <t>DS-2CE59U1T-VPIT3ZF(2.7-13.5mm)</t>
  </si>
  <si>
    <t>Cámara domo varifocal motorizada antivandálica 4K Resistente al agua y al polvo (IP67) y a prueba de vandalismo (IK10) EXIR 2.0: tecnología infrarroja avanzada con una distancia IR de 60 m La lente enfoca automáticamente al acercar o alejar el zoom.</t>
  </si>
  <si>
    <t>DS-2CE59U1T-AVPIT3ZF(2.7-13.5mm)</t>
  </si>
  <si>
    <t>Cámara domo varifocal motorizada antivandálica de 5 MP con iluminación ultrabaja WDR real de 130 dB IR de 60 m Resistente al agua y al polvo (IP67) y a prueba de vandalismo (IK10)</t>
  </si>
  <si>
    <t>DS-2CE59H8T-AVPIT3ZF(2.7-13.5mm)</t>
  </si>
  <si>
    <t>CAMARA TURBO 8MP DOMO 0.01LUX EXIR IR30m IK10   METAL HIKVISION</t>
  </si>
  <si>
    <t>DS-2CE57U1T-VPITF(3.6mm)</t>
  </si>
  <si>
    <t>DS-2CE57U1T-VPITF(2.8mm)</t>
  </si>
  <si>
    <t>CAMARA TURBO 5MP DOMO ANTIVANDALICA EXIR   2.8 /3.6 /6   0.01 LUX IR40m IP67 METAL HIKVISION</t>
  </si>
  <si>
    <t>DS-2CE57H0T-VPITF(2.8mm)(C)</t>
  </si>
  <si>
    <t xml:space="preserve">Cámara domo varifocal motorizada para interiores 4K IP67 IR de 60 m </t>
  </si>
  <si>
    <t>DS-2CE56U1T-ITZF(2.7-13.5mm)</t>
  </si>
  <si>
    <t>Cámara domo varifocal motorizada para interiores 4K</t>
  </si>
  <si>
    <t>DS-2CE56U1T-AITZF(2.7-13.5mm)</t>
  </si>
  <si>
    <t>CAMARA TURBO 5MP DOMO EXIR 0.01LUX 3.6 IR20m IP67 DIGITAL WDR PLASTICA HIKVISION</t>
  </si>
  <si>
    <t>DS-2CE56H0T-IRMMF(3.6mm)(C)</t>
  </si>
  <si>
    <t>CAMARA TURBO 5MP DOMO EXIR 0.01LUX 2.8 IR20m IP67 DIGITAL WDR PLASTICA HIKVISION</t>
  </si>
  <si>
    <t>DS-2CE56H0T-IRMMF(2.8mm)(C)</t>
  </si>
  <si>
    <t>CAMARA TURBO 1080P TURRET EXIR 0.01LUX  IR40m IP66 PLASTICA HIKVISION</t>
  </si>
  <si>
    <t>DS-2CE56D0T-IT3F(3.6mm)(C)</t>
  </si>
  <si>
    <t>CAMARA TURBO 1080P TURRET EXIR 0.01LUX  IR20m IP66 PLASTICA HIKVISION</t>
  </si>
  <si>
    <t>DS-2CE56D0T-IT1F(3.6mm)(C)</t>
  </si>
  <si>
    <t>DS-2CE56D0T-IT1F(2.8mm)(C)</t>
  </si>
  <si>
    <t>Cámara domo fija para interiores de 2 MP</t>
  </si>
  <si>
    <t>DS-2CE56D0T-IRMMF(2.8mm)(C)</t>
  </si>
  <si>
    <t>CAMARA TURBO 1080P TURRET 0.01LUX  IR20m IP66 SEMIMETAL HIKVISION</t>
  </si>
  <si>
    <t>DS-2CE56D0T-IRF(2.8mm)(C)</t>
  </si>
  <si>
    <t>CAMARA TURBO 8MP BALA  0.01LUX EXIR  IR80m  IP67 MOTORIZADA METAL HIKVISION</t>
  </si>
  <si>
    <t>DS-2CE19U1T-IT3ZF(2.7-13.5mm)</t>
  </si>
  <si>
    <t>Bala TURBOHD 4K (8 Megapixeles) / Lente Mot. 2.7 a 13.5 mm / IR EXIR Inteligente 80 mts / Exterior IP67 / Soporta 12 VCD &amp; 24 VCA / dWDR</t>
  </si>
  <si>
    <t>DS-2CE19U1T-AIT3ZF(2.7-13.5mm)</t>
  </si>
  <si>
    <t>Cámara bala varifocal motorizada de 5 MP para luz ultrabaja  IP67 IR de 80 m WDR real de 130 dB</t>
  </si>
  <si>
    <t>DS-2CE19H8T-AIT3ZF(2.7-13.5mm)</t>
  </si>
  <si>
    <t>CAMARA TURBO 1080P BALA FIJA CON AUDIO LIGERO HIBRIDO EXIR 0.01LUX  IR60m IP67 SEMIMETAL HIKVISION</t>
  </si>
  <si>
    <t>DS-2CE18D0T-LFS(2.8mm)</t>
  </si>
  <si>
    <t>Cámara Minibullet 4en1 2.8mm 3K Smart Light Hybrid Sirena y audio/ Hasta 40 m, Luz blanca: Hasta 40 m</t>
  </si>
  <si>
    <t>DS-2CE17K0T-LXTS(2.8mm)</t>
  </si>
  <si>
    <t>CAMARA BULLET 5MP BALA EXIR 0.01 LUX 40m IR  3.6 6 IP67 SEMI METALICA HIKVISION AUDIO COAXIAL</t>
  </si>
  <si>
    <t>DS-2CE17H0T-IT3FS(3.6mm)</t>
  </si>
  <si>
    <t>CAMARA BULLET 5MP BALA EXIR 0.01 LUX 40m IR  2,8 6 IP67 SEMI METALICA HIKVISION AUDIO COAXIAL</t>
  </si>
  <si>
    <t>DS-2CE17H0T-IT3FS(2.8mm)</t>
  </si>
  <si>
    <t>CAMARA TURBO 5MP BALA EXIR 0.01LUX 40m IR   IP67 SEMI METALICA HIKVISION</t>
  </si>
  <si>
    <t>DS-2CE17H0T-IT3F(3.6mm)(C)</t>
  </si>
  <si>
    <t>DS-2CE17H0T-IT3F(2.8mm)(C)</t>
  </si>
  <si>
    <t>CAMARA TURBO 5MP BALA 2,4 2,8 2,6 6 IR30M IP67 METAL Y PLASTICO HIKVISION</t>
  </si>
  <si>
    <t>DS-2CE17H0T-IT1F(2.8mm)(C)</t>
  </si>
  <si>
    <t>DS-2CE17H0T-IT1F(2.4mm)(C)</t>
  </si>
  <si>
    <t>Cámara bala fija con audio de 2 MP 40 m IP67  micrófono incorporado. Cubierta frontal: Metal, Cuerpo principal: Plástico</t>
  </si>
  <si>
    <t>DS-2CE17D0T-IT3FS(3.6mm)</t>
  </si>
  <si>
    <t>DS-2CE17D0T-IT3FS(2.8mm)</t>
  </si>
  <si>
    <t>CAMARA TURBO 1080P BALA EXIR 0.01LUX  IR40m IP67 SEMIMETAL HIKVISION</t>
  </si>
  <si>
    <t>DS-2CE17D0T-IT3F(2.8mm)(C)</t>
  </si>
  <si>
    <t>CAMARA TURBO 1080P BALA EXIR 0.01LUX  IR30m IP67 SEMIMETAL HIKVISION</t>
  </si>
  <si>
    <t>DS-2CE17D0T-IT1F(3.6mm)(C)</t>
  </si>
  <si>
    <t>DS-2CE17D0T-IT1F(2.8mm)(C)</t>
  </si>
  <si>
    <t>CAMARA TURBO 8MP BALA  0.01LUX EXIR IR30m IP67 PLASTICA HIKVISION</t>
  </si>
  <si>
    <t>DS-2CE16U1T-ITPF(3.6mm)</t>
  </si>
  <si>
    <t>DS-2CE16U1T-ITPF(2.8mm)</t>
  </si>
  <si>
    <t>CAMARA TURBO 8MP BALA  0.01LUX EXIR IR30m IP67 METAL HIKVISION</t>
  </si>
  <si>
    <t>DS-2CE16U1T-ITF(3.6mm)</t>
  </si>
  <si>
    <t>DS-2CE16U1T-ITF(2.8mm)</t>
  </si>
  <si>
    <t>CAMARA TURBO 8MP BALA  0.01LUX EXIR  IR80m IP67 SEMIMETAL HIKVISION</t>
  </si>
  <si>
    <t>DS-2CE16U1T-IT5F(3.6mm)</t>
  </si>
  <si>
    <t>CAMARA TURBO 8MP BALA  0.01LUX EXIR  IR60m IP67 SEMIMETAL HIKVISION</t>
  </si>
  <si>
    <t>DS-2CE16U1T-IT3F(3.6mm)</t>
  </si>
  <si>
    <t>CAMARA TURBO 8MP BALA EXIR 0.01LUX IR30m IP67 SEMIMETAL HIKVISION</t>
  </si>
  <si>
    <t>DS-2CE16U1T-IT1F(3.6mm)</t>
  </si>
  <si>
    <t>DS-2CE16U1T-IT1F(2.8mm)</t>
  </si>
  <si>
    <t>Cámara Minibullet 4en1 2.8mm 3K Smart Light Hybrid Sirena y audio Hasta 30 m, Luz blanca: Hasta 20 m</t>
  </si>
  <si>
    <t>DS-2CE16K0T-LXTS(2.8mm)</t>
  </si>
  <si>
    <t>CAMARA MINI BALA CON 2.8 IR 30M  3K HIBRIDA B/N - Color VU 20M IP67 0.01LUX METAL AUDIO COAXIAL</t>
  </si>
  <si>
    <t>DS-2CE16K0T-LFS(2.8mm)</t>
  </si>
  <si>
    <t>Bala TURBOHD 5 Megapixel / Lente 2.8 mm / 4 Tecnologías (TVI / AHD / CVI / CVBS) / 25 mts SMART IR EXIR / Exterior IP67 / dWDR / Policarbonato</t>
  </si>
  <si>
    <t>DS-2CE16H0T-ITPF(3.6mm)(C)</t>
  </si>
  <si>
    <t>Bala TURBOHD 5 Megapixel / Lente 2.4 mm / 4 Tecnologías (TVI / AHD / CVI / CVBS) / 25 mts SMART IR EXIR / Exterior IP67 / dWDR / Policarbonato</t>
  </si>
  <si>
    <t>DS-2CE16H0T-ITPF(2.4mm)(C)</t>
  </si>
  <si>
    <t xml:space="preserve">CAMARA TURBO 5MP BALA  MICROFONO INCORPORADO  AUDIO COAXIAL  0.01 Lux/ F1.2  DNR EXIR 2.0  Smart IR 30m IR METALICA HIKVISION </t>
  </si>
  <si>
    <t>DS-2CE16H0T-ITFS(2.8mm)</t>
  </si>
  <si>
    <t>Bala TURBOHD 5 Megapixel / Lente 2.4 mm / 4 Tecnologías (TVI / AHD / CVI / CVBS) / 30 mts SMART IR EXIR / Exterior IP67 / dWDR / Metal</t>
  </si>
  <si>
    <t>DS-2CE16H0T-ITF(2.4mm)(C)</t>
  </si>
  <si>
    <t>Cámara bala varifocal motorizada de 2 MP para luz ultrabaja La lente enfoca automáticamente al acercar o alejar el zoom. EXIR 2.0: tecnología infrarroja avanzada con una distancia IR de 80 m Resistente al agua y al polvo (IP67) 4 en 1 (4 señales conmutables TVI/AHD/CVI/CVBS) WDR real de 130 dB</t>
  </si>
  <si>
    <t>DS-2CE16D8T-IT3ZF(2.7-13.5mm)</t>
  </si>
  <si>
    <t>Cámara minibala fija de 2 MP con iluminación ultrabaja EXIR 2.0: tecnología infrarroja avanzada con una distancia IR de 30 m Resistente al agua y al polvo (IP67)
4 en 1 (4 señales conmutables TVI/AHD/CVI/CVBS).</t>
  </si>
  <si>
    <t>DS-2CE16D3T-ITF(2.8mm)</t>
  </si>
  <si>
    <t>CAMARA TURBO 1080P BALA VARIFOCAL 0.01LUX -12 IR40m IP66 METAL HIKVISION</t>
  </si>
  <si>
    <t>DS-2CE16D0T-VFIR3F(2.8-12mm)</t>
  </si>
  <si>
    <t>CAMARA TURBO 1080P BALA EXIR 0.01LUX Smart IR20m IP66 PLASTICA HIKVISION</t>
  </si>
  <si>
    <t>DS-2CE16D0T-ITPF(3.6mm)(C)</t>
  </si>
  <si>
    <t>DS-2CE16D0T-ITPF(2.8mm)(C)</t>
  </si>
  <si>
    <t>CAMARA MINI TURBO 1080P BALA EXIR 0.01LUX 3.6 IR30m IP67 METALICA HIKVISION</t>
  </si>
  <si>
    <t>DS-2CE16D0T-ITF(3.6mm)(C)</t>
  </si>
  <si>
    <t>Bala TURBOHD 2 Megapixel (1080p) / Gran Angular 99° / Lente 2.8 mm / 30 mts IR EXIR / Exterior IP67 / 4 Tecnologías / dWDR / Metal</t>
  </si>
  <si>
    <t>DS-2CE16D0T-ITF(2.8mm)(C)</t>
  </si>
  <si>
    <t>CAMARA BALA TURBO 4K COLORVU TURRET EXIR LUZ BLANCA 40m 0.0005LUX  IP67 METAL HIKVISION</t>
  </si>
  <si>
    <t>DS-2CE12UF3T-E(2.8mm)</t>
  </si>
  <si>
    <t>[ColorVu + Dual Light + Panoramica] Bala TURBOHD 3K (5 Megapixel) / Micrófono Integrado / Angulo de visión 180° / Imagen a Color 24/7 / 40 mts Luz Blanca + 40 mts IR / Exterior IP67 / WDR</t>
  </si>
  <si>
    <t>DS-2CE12KF3TP-DLS(180°)</t>
  </si>
  <si>
    <t>CAMARA TURBO 3K COLORVU AUDIO BALA LUZ BLANCA 40 m, IR 40 m, AUDIO COAXIAL</t>
  </si>
  <si>
    <t>DS-2CE12KF0T-LFS(2.8mm)</t>
  </si>
  <si>
    <t>Bala TURBOHD 3K (5 Megapixel) / Lente 3.6 mm / Micrófono Integrado / Imagen a Color 24/7 / Luz Blanca 40 mts / Exterior IP67 / dWDR / 4 Tecnologías / Metal</t>
  </si>
  <si>
    <t>DS-2CE12KF0T-FS(2.8mm)</t>
  </si>
  <si>
    <t xml:space="preserve">CAMARA TURBO 1080P BALA 24/7 COLORVU 3D DNR WDR 130DB IP67 40M LUZ BLANCA METALICA HIKVISION </t>
  </si>
  <si>
    <t>DS-2CE12DF3T-PIRXOS(2.8mm)</t>
  </si>
  <si>
    <t>Cámara Bala con Audio ColorVu de 2 MP Imágenes en color 24 horas al día, 7 días a la semana Tecnología WDR real de 130 dB Tecnología 3D DNR Distancia de luz blanca de hasta 40 metros Resistente al agua y al polvo (IP67) Micrófono incorporado</t>
  </si>
  <si>
    <t>DS-2CE12DF3T-FS(2.8mm)</t>
  </si>
  <si>
    <t>CAMARA TURBO 1080P BALA  0.0005 LUX F1.0 24/7 COLORVU 3D DNR WDR 130 dB   IP67 40M LUZ BLANCA METALICA HIKVISION</t>
  </si>
  <si>
    <t>DS-2CE12DF3T-F(2.8mm)</t>
  </si>
  <si>
    <t>Bala TURBOHD 3K (5 Megapixel) / Lente 2.8 mm / Micrófono Integrado / luz híbrida inteligente 20 mts / Exterior IP67 / dWDR / 4 Tecnologías</t>
  </si>
  <si>
    <t>DS-2CE10KF0T-LFS(2.8mm)</t>
  </si>
  <si>
    <t>Cámara TurboHD ColorVu, Bullet. Lente fijo 2.8mm. Resolución máxima 1920x1080. Soporta 4 tecnologías, seleccionables (TVI / AHD / CVI / CVBS). Iluminación mínima 0.0005 Lux, F1.0, luz blanca complementaria (alcance hasta 20m). Audio de alta calidad a través de cable coaxial, micrófono incorporado. (NOTA: LA DVR DEBE ACEPTAR AUDIO A TRAVÉS DEL CABLE COAXIAL). WDR 130db. IP67. Alimentación 12VDC (no incluida). Fabricada en material plástico.</t>
  </si>
  <si>
    <t>DS-2CE10DF3T-PFS(2.8mm)</t>
  </si>
  <si>
    <t>Bala TURBOHD 2 Megapixel (1080p) / Imagen a color 24/7 / Lente 2.8 mm / Luz Blanca 20 mts / Exterior IP67 / WDR 130 dB / Micrófono Integrado</t>
  </si>
  <si>
    <t>DS-2CE10DF3T-FS(2.8mm)</t>
  </si>
  <si>
    <t>CAMARA TURBO 1080P BALA   0.0005 LUX  F.1.0  24/7 COLORVU  20M 3D DNR  130dB  WDR IP67 LUZ BLANCA METALICA HIKVISION</t>
  </si>
  <si>
    <t>DS-2CE10DF3T-F(2.8mm)</t>
  </si>
  <si>
    <t>CAMARA TURBO 1080P MINIBALA  0.001LUX F1.0   HIBRIDA B/N - Color VU 24/7 COLORVU  20M 3D DNR  DWDR IP67 LUZ BLANCA METALICA HIKVISION AUDIO COAXIAL</t>
  </si>
  <si>
    <t>DS-2CE10DF0T-LFS(2.8mm)</t>
  </si>
  <si>
    <t>CAMARA PTZ TURBO HD 25X  2MP  DWDR   COLOR: 0.005 lux / F1.6 / AGC On ; WB: 0.001 lux /F1.6 / AGC On  3D DNR HIKVISION</t>
  </si>
  <si>
    <t>DS-2AE5225TI-A(E)</t>
  </si>
  <si>
    <t>CAMARA TURBO 1080P PTZ 25XZOOM 0.005LUX DWDR IR100m IP66 HIKVISION</t>
  </si>
  <si>
    <t>DS-2AE4225TI-D(E)</t>
  </si>
  <si>
    <t>CAMARA PTZ TURBO HD 15X  2MP 100m IR 1080P DWDR Color: 0.005lux/F1.6, B/W:0.001lux/F1.6 HIKVISION</t>
  </si>
  <si>
    <t>DS-2AE4215TI-D(E)</t>
  </si>
  <si>
    <t>CAMARA TURBO 1080P BALA EXIR 0.01LUX  IR80m IP66 SEMIMETAL HIKVISION</t>
  </si>
  <si>
    <t>DS-2CE17D0T-IT5F(3.6mm)(C)</t>
  </si>
  <si>
    <t>CAMARA TURBO 1080P BALA  0.001LUX F1.0   HIBRIDA B/N - Color VU 24/7 COLORVU  20M 3D DNR  DWDR IP67 LUZ BLANCA METALICA HIKVISION AUDIO COAXIAL</t>
  </si>
  <si>
    <t>DS-2CE12DF0T-LFS(2.8mm)</t>
  </si>
  <si>
    <t>DVR 16 Canales TURBOHD + 16 Canales IP / 8 Megapixel (4K) / Audio por Coaxitron / ACUSENSE / Reconocimiento Facial / 2 Bahías de Disco Duro / Salida de Video en 4K / H.265+</t>
  </si>
  <si>
    <t>iDS-7216HUHI-M2/XT/4A+16/4ALM</t>
  </si>
  <si>
    <t>DVR Lite Mini 1U H.265 de 4 canales y 1080p
Compatible con la tecnología de detección de movimiento de todos los canales
Compresión de vídeo H.265 Pro+/H.265 Pro/H.265
Entradas de vídeo HDTVI/CVI/AHD/IP/CVBS
Audio por cable coaxial
Compatible con todos los canales de tecnología de audio bidireccional HDTVI
Entradas de cámara IP de hasta 5 canales</t>
  </si>
  <si>
    <t>DS-7104HGHI-M1/T</t>
  </si>
  <si>
    <t>DVR Lite Mini 1U H.265 de 8 canales y 1080p
Compatible con la tecnología de detección de movimiento de todos los canales
Compresión de vídeo H.265 Pro+/H.265 Pro/H.265
Entradas de vídeo HDTVI/CVI/AHD/IP/CVBS
Audio por cable coaxial
Compatible con todos los canales de tecnología de audio bidireccional HDTVI
Entradas de cámara IP de hasta 5 canales</t>
  </si>
  <si>
    <t>DS-7108HGHI-M1/T</t>
  </si>
  <si>
    <t>CAMARA TURBO 1080P BALA F28mm 24/7 COLORVU LUZ BLANCA 20M 3D DNR DWDR IP67 PLASTICA</t>
  </si>
  <si>
    <t>DS-2CE10DF0T-PF(2.8mm)</t>
  </si>
  <si>
    <t xml:space="preserve">DVR 32 CANALES TURBOHD + 8 CANALES IP 5 MEGAPIXEL LITE - 3K LITE ACUSENSE AUDIO POR COAXITRON / 2 BAHÍAS DE DISCO DURO H.265+ SALIDA DE VIDEO EN FULL HD_x000D_
_x000D_
</t>
  </si>
  <si>
    <t>iDS-7232HQHI-M2/XT</t>
  </si>
  <si>
    <t>GRABADOR 8 CANALES, 1 DISCO SATA DE HASTA 12 TB, RESOLUCIÓN 5MP, ALARMA 8E / 4S, ACUSENSE, MOTION DETECTION, 1 INTERFAZ RJ45.</t>
  </si>
  <si>
    <t>iDS-7208HUHI-M1/XT/4A+8/4ALM</t>
  </si>
  <si>
    <t>DVR 4 CH 1080p DISCO DURO eSSD 480gb H265+ DISEÑO COMPACTO</t>
  </si>
  <si>
    <t>DS-E04HGHI-B</t>
  </si>
  <si>
    <t>CAMARA TURBO TURRET 3K HIBRIDA B/N - Color VU 20M 0.01LUX  IR 20M PLASTICO HIKVISION AUDIO COAXIAL</t>
  </si>
  <si>
    <t>DS-2CE76K0T-LPFS(2.8mm)</t>
  </si>
  <si>
    <t>CAMARA TURBO 1080P TURRET   0.001LUX F1.0   24/7 COLORVU  LUZ BLANCA 40M 3D DNR  DWDR IP67 LUZ BLANCA SEMIMETALICA HIKVISION</t>
  </si>
  <si>
    <t>DS-2CE72DF0T-F(2.8mm)</t>
  </si>
  <si>
    <t>CAMARA TURBO TURRET 3K B/N - Color VU  TURRET EXIR LUZ BLANCA 20 m 0.001LUX  PLASTICO HIKVISION AUDIO COAXIAL</t>
  </si>
  <si>
    <t>DS-2CE70KF0T-PFS(2.8mm)</t>
  </si>
  <si>
    <t>CAMARA TURBO 1080P TURRET   0.0005LUX F1.0 24/7 COLORVU  LUZ BLANCA 20M 3D DNR 130dB WDR IP67 PLASTICA HIKVISION</t>
  </si>
  <si>
    <t>DS-2CE70DF3T-PF(2.8mm)</t>
  </si>
  <si>
    <t>Turret TURBOHD 2 Megapixel (1080p) / Imagen a color 24/7 / Lente 2.8 mm / Luz Blanca 20 mts / Exterior IP67 / WDR 130 dB</t>
  </si>
  <si>
    <t>DS-2CE70DF3T-MF(2.8mm)</t>
  </si>
  <si>
    <t>CAMARA TURBO BALA VARIFOCAL 0.01LUX F2.7-13.5 IR40M IP67</t>
  </si>
  <si>
    <t>DS-2CE19D0T-VFIT3F(2.7-13.5mm)(C)</t>
  </si>
  <si>
    <t>CAMARA TURBO 1080 BALA FIJA CON AUDIO LIGERO HIBRIDO EXIR 0.01LUX  IR40m IP67 SEMIMETAL HIKVISION</t>
  </si>
  <si>
    <t>DS-2CE17D0T-LFS(2.8mm)</t>
  </si>
  <si>
    <t>CAMARA TURBO 1080 BALA EXIR 001LUX F36 IR40m IP67 SEMIMETAL</t>
  </si>
  <si>
    <t>DS-2CE17D0T-IT3F(3.6mm)(C)</t>
  </si>
  <si>
    <t>AUDIO POR COAXITRON / Bala TURBOHD 5 Megapixel / Lente 2.8 mm / 4 Tecnologías (TVI / AHD / CVI / CVBS) / 20 mts SMART IR EXIR / Exterior IP67 / dWDR / Policarbonato</t>
  </si>
  <si>
    <t>DS-2CE16H0T-ITPFS(2.8mm)</t>
  </si>
  <si>
    <t>Bala TURBOHD 5 Megapixel / Lente 3,6 mm / 4 Tecnologías (TVI / AHD / CVI / CVBS) / 25 mts SMART IR EXIR / Exterior IP67 / dWDR / Policarbonato</t>
  </si>
  <si>
    <t>DS-2CE16H0T-ITPF(2.8mm)(C)</t>
  </si>
  <si>
    <t>CAMARA TURBO 5MP BALA  EXTERIOR IR67 30MTS SMART DWDR</t>
  </si>
  <si>
    <t>DS-2CE16H0T-ITF(2.8mm)(C)</t>
  </si>
  <si>
    <t>CAMARA TURBO 1080P BALA 0.01LUX  IR20m INT PLASTICA HIKVISION</t>
  </si>
  <si>
    <t>DS-2CE16D0T-IRPF(2.8mm)(C)</t>
  </si>
  <si>
    <t>CAMARA BALA TURBO 4K COLORVU TURRET EXIR LUZ BLANCA 20m 0.0005LUX  IP67 METAL HIKVISION</t>
  </si>
  <si>
    <t>DS-2CE10UF3T-E(2.8mm)</t>
  </si>
  <si>
    <t>Cámara tipo bullet 3K ColorVu con imagen en color 24/7, lente fijo de 2.8mm, micrófono integrado, visión nocturna híbrida (IR y luz blanca hasta 20m), salida 4 en 1 (TVI/AHD/CVI/CVBS) y carcasa IP67 resistente al agua.</t>
  </si>
  <si>
    <t>DS-2CE10KF0T-LPFS(2.8mm)</t>
  </si>
  <si>
    <t>CAMARA TURBO 1080P BALA F28mm 0001LUX F10 24/7</t>
  </si>
  <si>
    <t>DS-2CE10DF0T-PFS(2.8mm)</t>
  </si>
  <si>
    <t>DVR 16 Canales TURBOHD + 16 Canales IP / 8 Megapixel (4K) / Audio Bidireccional / ACUSENSE / Reconocimiento Facial / 2 Bahías de Disco Duro / Salida de Video en 4K / H.265+</t>
  </si>
  <si>
    <t>iDS-7216HUHI-M2/XT</t>
  </si>
  <si>
    <t>DVR 16 Canales TURBOHD + 8 Canales IP / 5 Megapixel Lite - 3K Lite / Audio de Dos Vías por Coaxitron / Reconocimiento Facial / ACUSENSE (Evita falsas alarmas) / 1 Bahía de Disco Duro / Salida de Video en Full HD</t>
  </si>
  <si>
    <t>iDS-7216HQHI-M1/XT</t>
  </si>
  <si>
    <t>DVR 8 Canales TURBOHD + 8 Canales IP / 8 Megapixel (4K) / Audio de dos vías por Coaxitron / ACUSENSE / Reconocimiento Facial / 1 Bahía de Disco Duro / Salida de Video en 4K / H.265+</t>
  </si>
  <si>
    <t>iDS-7208HUHI-M1/XT</t>
  </si>
  <si>
    <t>DVR 8CH TURBO 4MP lite  2BAHIA/10TB H.265+  ANALITICAS 30FPS HDMI/VGA METAL  AcuSense HIKVISION</t>
  </si>
  <si>
    <t>iDS-7208HQHI-M2/S(C)</t>
  </si>
  <si>
    <t>ACUSENSE EVITA FALSAS ALARMAS DVR 4 MEGAPIXEL  8 CANALES TURBOHD + 4 CANALES IP 1 BAHÍA DE DISCO DURO AUDIO POR COAXITRON</t>
  </si>
  <si>
    <t>iDS-7208HQHI-M1/XT</t>
  </si>
  <si>
    <t>DVR 8CH TURBO 4MP lite 1BAHIA/10TB H.265+  RECONOCIMIENTO FACIAL ANALITICAS 30FPS HDMI/VGA METAL  2nd Gen AcuSense HIKVISION</t>
  </si>
  <si>
    <t>iDS-7208HQHI-M1/FA(C)</t>
  </si>
  <si>
    <t>DVR 4 Canales TURBOHD + 4 Canales IP / 8 Megapixel (4K) / Audio de dos vías por Coaxitron / ACUSENSE / Reconocimiento Facial / 1 Bahía de Disco Duro / Salida de Video en Full HD / H.265+</t>
  </si>
  <si>
    <t>iDS-7204HUHI-M1/XT</t>
  </si>
  <si>
    <t>DVR 4CH TURBO 8MP 1BAHIA/10TB H.265+  ANALITICAS 30FPS HDMI/VGA METAL  2nd Gen AcuSense HIKVISION ENTRADA Y SALIDA DE ALARMA</t>
  </si>
  <si>
    <t>iDS-7204HUHI-M1/S(C)/4A+4/1ALM</t>
  </si>
  <si>
    <t>DVR HIKVISION DE 4 CANALES PARA CÁMARAS DE HASTA 2 MP CON 2 CANALES ACUSENSE. ADMITE CANALES UNIVERSALES (HD-TVI AHD, HD-CVI, CVBS E IP).</t>
  </si>
  <si>
    <t>iDS-7204HQHI-M1/XT</t>
  </si>
  <si>
    <t>DVR AcuSense mini 1U H.265 de 16 canales y 1080p
Clasificación de objetivos humanos y de vehículos basada en aprendizaje profundo de Motion Detection 2.0
Protección perimetral basada en aprendizaje profundo
Compresión de vídeo H.265 Pro+/H.265 Pro/H.265
Entradas de vídeo HDTVI/AHD/CVI/CVBS/IP Audio mediante cable coaxial Entradas de cámara IP de hasta 24 canales (hasta 6 MP) Capacidad de codificación hasta 3K/5M Lite a 12 fps</t>
  </si>
  <si>
    <t>iDS-7116HQHI-M1/S(E)</t>
  </si>
  <si>
    <t>DVR 8CH TURBO 4MP LITE 10TB H265+  ANALITICAS 15FPS HDMI/VGA AcuSense HIKVISION</t>
  </si>
  <si>
    <t>iDS-7108HQHI-M1/S(C)</t>
  </si>
  <si>
    <t>DVR 4CH MINI TURBO 4MP LITE 10TB H265+ DETECCION DE MOVIMIENTO 2.0 AcuSense</t>
  </si>
  <si>
    <t>iDS-7104HQHI-M1/S(C)</t>
  </si>
  <si>
    <t>DVR 8 CH 1080p DISCO DURO eSSD 480gb H265+ DISEÑO COMPACTO_x000D_
AcuSense</t>
  </si>
  <si>
    <t>DS-E08HGHI-B</t>
  </si>
  <si>
    <t>DVR 32CH TURBO 1080P LITE 10TB SATA H265+ 15FPS  HDMI/VGA HIKVISION AcuSense</t>
  </si>
  <si>
    <t>DS-7232HGHI-M2</t>
  </si>
  <si>
    <t>DVR 16 CH TURBO 1080P LITE 10TB SATA H165+ 15FPS HDMI/VGA HIKVISION AcuSense</t>
  </si>
  <si>
    <t>DS-7216HGHI-M1(C)</t>
  </si>
  <si>
    <t>DVR 8CH TURBO 1080P LITE 4TB H265+ HD 720P LITE WD1/4CIF/VGA 15FPS HDMI/VGA HIKVISION AcuSense</t>
  </si>
  <si>
    <t>DS-7208HGHI-M1(C)</t>
  </si>
  <si>
    <t>DVR Lite 1U H.265 de 4 canales y 1080p Clasificación de objetivos humanos y de vehículos basada en aprendizaje profundo de Motion Detection 2.0 Compresión de vídeo H.265 Pro+/H.265 Pro/H.265 Entrada de vídeo HDTVI/AHD/CVI/CVBS/IP Audio mediante cable coaxial Entradas de cámara IP de hasta 5 canales (hasta 2 MP) Capacidad de codificación de hasta 1080p Lite a 30 fps Máx. 1200 m para señal HDTVI 720p</t>
  </si>
  <si>
    <t>DS-7204HGHI-K1(S)</t>
  </si>
  <si>
    <t>DVR 16CH TURBO MINI 720P 10TB H265+ 15FPS HDMI/VGA HIKVISION AcuSense</t>
  </si>
  <si>
    <t>DS-7116HGHI-M1(C)</t>
  </si>
  <si>
    <t>DVR 8CH TURBO 1080p LITE 1BAHIA/4TB H.265+/H.265 HDMI/VGA AcuSense</t>
  </si>
  <si>
    <t>DS-7108HGHI-M1(C)</t>
  </si>
  <si>
    <t>DVR 4CH TURBO 1080p LITE 4TB H.265+H.265 2MP MAX120m HDMI/VGA AcuSense</t>
  </si>
  <si>
    <t>DS-7104HGHI-M1(C)</t>
  </si>
  <si>
    <t>CAMARA TURBO 5MP DOMO VF MOTORIZADA 2,7 A 13,5 IR40M IP67 METAL HIKVISION</t>
  </si>
  <si>
    <t>DS-2CE79H0T-IT3ZF(2.7-13.5mm)(C)</t>
  </si>
  <si>
    <t>CAMARA TURBO TURRET 3K HIBRIDA B/N - Color VU  20M 0.01LUX  IR40M IP67 METALICO RECINTO PLASTICO AUDIO COAXIAL</t>
  </si>
  <si>
    <t>DS-2CE78K0T-LFS(2.8mm)</t>
  </si>
  <si>
    <t>CÁMARA TURRET  SIRENA Y AUDIO BIDIRECCIONAL 2 MP, RESOLUCIÓN DE 1920 × 1080 LENTE FOCAL FIJA DE 2,8 MM Y 3,6 MM</t>
  </si>
  <si>
    <t>DS-2CE78D0T-LXTS(2.8mm)</t>
  </si>
  <si>
    <t>Turret TURBOHD 2 Megapixel (1080p) / Lente 2.8 mm / Dual Light (40 mts IR EXIR + 40 mts Luz Blanca) / Micrófono Integrado / Gran Angular 105° / IP67 / 4 Tecnologías</t>
  </si>
  <si>
    <t>DS-2CE78D0T-LTS(2.8mm)</t>
  </si>
  <si>
    <t>CAMARA TURBO TURRET 3K HIBRIDA B/N - Color VU 20M 0.01LUX  IP67 METAL HIKVISION AUDIO COAXIAL</t>
  </si>
  <si>
    <t>DS-2CE76K0T-LMFS(2.8mm)</t>
  </si>
  <si>
    <t xml:space="preserve">CAMARA TURBO 1080P TURRET AUDIO COAXIAL  0.01 Lux/ F1.6  DNR EXIR 2.0  Smart IR 20m IR PLASTICO HIKVISION </t>
  </si>
  <si>
    <t>DS-2CE76D0T-LPFS(2.8mm)</t>
  </si>
  <si>
    <t xml:space="preserve">CAMARA TURBO 1080P TURRET AUDIO COAXIAL  0.01 Lux/ F1.6  DNR EXIR 2.0  Smart IR 30m IR METAL HIKVISION </t>
  </si>
  <si>
    <t>DS-2CE76D0T-LMFS(2.8mm)</t>
  </si>
  <si>
    <t>CAMARA TURBO 1080P TURRET   0.0005LUX F1.0 24/7 COLORVU  LUZ BLANCA 20M 3D DNR 130dB WDR IP67 SENSOR PIR SEMI METALICA HIKVISION</t>
  </si>
  <si>
    <t>DS-2CE72DF3T-PIRXOS(2.8mm)</t>
  </si>
  <si>
    <t>CAMARA TURBO 1080P TURRET   0.001LUX F1.0   24/7 COLORVU LUZ BLANCA 20M 3D DNR  DWDR IP67 LUZ BLANCA METALICA HIKVISION AUDIO COAXIAL</t>
  </si>
  <si>
    <t>DS-2CE70DF0T-MFS(2.8mm)</t>
  </si>
  <si>
    <t>CAMARA TURBO 1080P TURRET   0.001LUX F1.0   24/7 COLORVU LUZ BLANCA 20M 3D DNR  DWDR IP67 LUZ BLANCA METALICA HIKVISION</t>
  </si>
  <si>
    <t>DS-2CE70DF0T-MF(2.8mm)</t>
  </si>
  <si>
    <t>CAMARA TURBO 1080P MINIDOMO  0.001LUX F1.0   HIBRIDA B/N - 24/7 COLORVU  20M 3D DNR  DWDR IP67 LUZ BLANCA PLASTICO HIKVISION AUDIO COAXIAL</t>
  </si>
  <si>
    <t>DS-2CE70DF0T-LPFS(2.8mm)</t>
  </si>
  <si>
    <t>[Dual Light + ColorVu] Turret TURBOHD 2 Megapixel (1080p) / Lente 2.8 mm / 20 mts IR + 20 mts Luz Blanca / Gran Angular 105° / Exterior IP67 / Micrófono Integrado / dWDR / 4 Tecnologías / Metal</t>
  </si>
  <si>
    <t>DS-2CE70DF0T-LMFS(2.8mm)</t>
  </si>
  <si>
    <t>Turret TURBOHD 2 Megapixel (1080p) / Lente 2.8 mm / Dual Light (40 mts IR EXIR + 40 mts Luz Blanca) / Micrófono Integrado / Notificación Visual y Audible / Exterior IP67 / 4 Tecnologías</t>
  </si>
  <si>
    <t>DS-2CE70D0T-PTLXTS(2.8mm)</t>
  </si>
  <si>
    <t>DS-2CE56D0T-IT3F(2.8mm)(C)</t>
  </si>
  <si>
    <t>CAMARA TURBO 1080P TURRET 0.01LUX  IR20m INT PLASTICA HIKVISION</t>
  </si>
  <si>
    <t>DS-2CE56D0T-IRPF(2.8mm)(C)</t>
  </si>
  <si>
    <t>CAMARA  TURBO 1080P TURRET 0.01LUX  EXIR IP66 METAL HIKVISION</t>
  </si>
  <si>
    <t>DS-2CE56D0T-IRMF(2.8mm)(C)</t>
  </si>
  <si>
    <t>CAMARA TURBO 5MP BALA MOTORIZADA VARIFOCAL (2.7 -13.5 )  0.01LUX EXIR 2.0  IR40m  IP67  METAL HIKVISION</t>
  </si>
  <si>
    <t>DS-2CE19H0T-AIT3ZF(2.7-13.5mm)(C)</t>
  </si>
  <si>
    <t>CAMARA TURBO BALA 2,8  3K HIBRIDA B/N - Color VU 40M EXTERIOR IP67 HIKVISION AUDIO COAXIAL</t>
  </si>
  <si>
    <t>DS-2CE17K0T-LFS(2.8mm)</t>
  </si>
  <si>
    <t>CAMARA TURBO 5MP BALA EXIR 0.01 LUX 80m IR   IP67 SEMI METALICA HIKVISION</t>
  </si>
  <si>
    <t>DS-2CE17H0T-IT5F(3.6mm)(C)</t>
  </si>
  <si>
    <t>DS-2CE17H0T-IT1F(3.6mm)(C)</t>
  </si>
  <si>
    <t>DS-2CE16U1T-IT3F(2.8mm)</t>
  </si>
  <si>
    <t>MINIBALA FIJA CON AUDIO BIDIRECCIONAL DE 3K</t>
  </si>
  <si>
    <t>DS-2CE16K0T-LTS(2.8mm)</t>
  </si>
  <si>
    <t>CAMARA MINI BALA CON 2.8 IR 25M  3K HIBRIDA B/N - Color VU 20M IP67 0.01LUX PLASTICO AUDIO COAXIAL</t>
  </si>
  <si>
    <t>DS-2CE16K0T-LPFS(2.8mm)</t>
  </si>
  <si>
    <t>CÁMARA MINIBALA FIJA DE 2 MP CON SIRENA Y AUDIO BIDIRECCIONAL-  2 MP-RESOLUCIÓN DE 1920 × 1080 LENTE FOCAL FIJA DE 2,8 MM Y 3,6 MM</t>
  </si>
  <si>
    <t>DS-2CE16D0T-LXTS(2.8mm)</t>
  </si>
  <si>
    <t>BALA TURBOHD 2 MEGAPIXEL (1080P) LENTE 2.8 MM DUAL LIGHT (30 MTS IR EXIR + 20 MTS LUZ BLANCA) MICRÓFONO INTEGRADO</t>
  </si>
  <si>
    <t>DS-2CE16D0T-LTS(2.8mm)</t>
  </si>
  <si>
    <t>[Dual Light + ColorVu] Bala TURBOHD 2 Megapixel (1080p) / Lente 2.8 mm / 25 mts IR EXIR + 20 mts Luz Blanca / Micrófono Integrado / Gran Angular 101° / Exterior IP67 plastica / 4 Tecnologías</t>
  </si>
  <si>
    <t>DS-2CE16D0T-LPFS(2.8mm)</t>
  </si>
  <si>
    <t xml:space="preserve">CAMARA TURBO 1080P BALA MICROFONO INCORPORADO  AUDIO COAXIAL  0.01 Lux/ F1.2  DNR  Smart IR 25m IR PLASTICA HIKVISION </t>
  </si>
  <si>
    <t>DS-2CE16D0T-ITPFS(2.8mm)</t>
  </si>
  <si>
    <t>CAMARA MINI TURBO AUDIO 1080P BALA EXIR 0.01LUX 2.8 IR30m IP67 METALICA HIKVISION AUDIO COAXIAL</t>
  </si>
  <si>
    <t>DS-2CE16D0T-ITFS(2.8mm)</t>
  </si>
  <si>
    <t>CAMARA TURBO 1080P BALA 0.01LUX  IR20m IP66 METAL HIKVISION</t>
  </si>
  <si>
    <t>DS-2CE16D0T-IRF(2.8mm)(C)</t>
  </si>
  <si>
    <t>CAMARA TURBO 1080P BALA 0.001LUX F1.0   24/7 COLORVU  40M 3D DNR  DWDR IP67 LUZ BLANCA SEMIMETALICA HIKVISION</t>
  </si>
  <si>
    <t>DS-2CE12DF0T-F(2.8mm)</t>
  </si>
  <si>
    <t>CAMARA TURBO 3K COLORVU AUDIO BALA EXIR LUZ BLANCA 20m 0.001LUX  IP67 PLASTICO HIKVISION AUDIO COAXIAL</t>
  </si>
  <si>
    <t>DS-2CE10KF0T-PFS(2.8mm)</t>
  </si>
  <si>
    <t>CAMARA TURBO 3K COLORVU AUDIO BALA EXIR LUZ BLANCA 20 m 0.001LUX  IP67 METAL HIKVISION AUDIO COAXIAL</t>
  </si>
  <si>
    <t>DS-2CE10KF0T-FS(2.8mm)</t>
  </si>
  <si>
    <t>CAMARA TURBO 1080P BALA 0.0005 LUX F1.0 24/7 COLORVU  20M 3D DNR  130dB  WDR IP67 LUZ BLANCA PLASTICA HIKVISION</t>
  </si>
  <si>
    <t>DS-2CE10DF3T-PF(2.8mm)</t>
  </si>
  <si>
    <t>CAMARA TURBO 1080P MINIBALA  0.001LUX F1.0   HIBRIDA B/N - 24/7 COLORVU  20M 3D DNR  DWDR IP67 LUZ BLANCA PLASTICO HIKVISION AUDIO COAXIAL</t>
  </si>
  <si>
    <t>DS-2CE10DF0T-LPFS(2.8mm)</t>
  </si>
  <si>
    <t>CAMARA TURBO 1080P BALA  0.001LUX F1.0   24/7 COLORVU  20M 3D DNR  DWDR IP67 LUZ BLANCA METALICA HIKVISION AUDIO COAXIAL</t>
  </si>
  <si>
    <t>DS-2CE10DF0T-FS(2.8mm)</t>
  </si>
  <si>
    <t>CAMARA TURBO 1080P BALA 0.001LUX F1.0   24/7 COLORVU  20M 3D DNR  DWDR IP67 LUZ BLANCA METALICA HIKVISION</t>
  </si>
  <si>
    <t>DS-2CE10DF0T-F(2.8mm)</t>
  </si>
  <si>
    <t>INSTALLER SIN IVA</t>
  </si>
  <si>
    <t>ORO SIN IVA</t>
  </si>
  <si>
    <t>PRECIO SUGERIDO INSTALADOR2</t>
  </si>
  <si>
    <t>Columna8</t>
  </si>
  <si>
    <t>DPP ORO2</t>
  </si>
  <si>
    <t>Columna6</t>
  </si>
  <si>
    <t>DPP PLATINO2</t>
  </si>
  <si>
    <t>Columna4</t>
  </si>
  <si>
    <t>Columna3</t>
  </si>
  <si>
    <t>PLATINO</t>
  </si>
  <si>
    <t xml:space="preserve"> ORO</t>
  </si>
  <si>
    <t>PRECIO SUGERIDO INSTALADOR
( CON  IVA)</t>
  </si>
  <si>
    <t>Columna1</t>
  </si>
  <si>
    <t>PRECIO CLIENTE FINAL ( CON  IVA)</t>
  </si>
  <si>
    <t>PRECIO DPP PLATINO ( CON  IVA)</t>
  </si>
  <si>
    <t>PRECI DPP ORO ( CON  IVA)</t>
  </si>
  <si>
    <t>PRECIO TIENDA ( CON  IVA)</t>
  </si>
  <si>
    <t>PRECIO  INSTALADOR
( CON  IVA)</t>
  </si>
  <si>
    <t xml:space="preserve">DESCRIPCIÓN </t>
  </si>
  <si>
    <t>REFERENCIA</t>
  </si>
  <si>
    <t>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</si>
</sst>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0.00_ "/>
  </numFmts>
  <fonts count="10" x14ac:knownFonts="1">
    <font>
      <sz val="11"/>
      <color theme="1"/>
      <name val="Aptos Narrow"/>
      <family val="2"/>
      <scheme val="minor"/>
    </font>
    <font>
      <sz val="11"/>
      <color theme="1"/>
      <name val="Aptos Narrow"/>
      <family val="2"/>
      <scheme val="minor"/>
    </font>
    <font>
      <sz val="10"/>
      <color theme="1"/>
      <name val="Aptos Narrow"/>
      <family val="2"/>
      <scheme val="minor"/>
    </font>
    <font>
      <sz val="10"/>
      <name val="Aptos Narrow"/>
      <family val="2"/>
      <scheme val="minor"/>
    </font>
    <font>
      <b/>
      <sz val="10"/>
      <name val="Aptos Narrow"/>
      <family val="2"/>
      <scheme val="minor"/>
    </font>
    <font>
      <sz val="10"/>
      <color rgb="FF000000"/>
      <name val="Aptos Narrow"/>
      <family val="2"/>
      <scheme val="minor"/>
    </font>
    <font>
      <sz val="10"/>
      <name val="Arial"/>
      <family val="2"/>
    </font>
    <font>
      <sz val="10"/>
      <color theme="1"/>
      <name val="Arial"/>
      <family val="2"/>
    </font>
    <font>
      <b/>
      <sz val="10"/>
      <color theme="0"/>
      <name val="Aptos Narrow"/>
      <family val="2"/>
      <scheme val="minor"/>
    </font>
    <font>
      <b/>
      <sz val="10"/>
      <color indexed="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C00000"/>
        <bgColor rgb="FF000000"/>
      </patternFill>
    </fill>
    <fill>
      <patternFill patternType="solid">
        <fgColor theme="9"/>
        <bgColor rgb="FF000000"/>
      </patternFill>
    </fill>
    <fill>
      <patternFill patternType="solid">
        <fgColor theme="0" tint="-0.14999847407452621"/>
        <bgColor rgb="FF000000"/>
      </patternFill>
    </fill>
  </fills>
  <borders count="13">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indexed="64"/>
      </left>
      <right/>
      <top style="thin">
        <color indexed="64"/>
      </top>
      <bottom/>
      <diagonal/>
    </border>
    <border>
      <left/>
      <right/>
      <top style="thin">
        <color theme="1"/>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style="thin">
        <color theme="1"/>
      </right>
      <top style="thin">
        <color theme="1"/>
      </top>
      <bottom style="thin">
        <color theme="1"/>
      </bottom>
      <diagonal/>
    </border>
    <border>
      <left/>
      <right style="thin">
        <color theme="1"/>
      </right>
      <top style="thin">
        <color theme="1"/>
      </top>
      <bottom/>
      <diagonal/>
    </border>
  </borders>
  <cellStyleXfs count="2">
    <xf numFmtId="0" fontId="0" fillId="0" borderId="0"/>
    <xf numFmtId="44" fontId="1" fillId="0" borderId="0" applyFont="0" applyFill="0" applyBorder="0" applyAlignment="0" applyProtection="0"/>
  </cellStyleXfs>
  <cellXfs count="78">
    <xf numFmtId="0" fontId="0" fillId="0" borderId="0" xfId="0"/>
    <xf numFmtId="0" fontId="2" fillId="0" borderId="1" xfId="0" applyFont="1" applyBorder="1" applyAlignment="1" applyProtection="1">
      <alignment vertical="center" wrapText="1"/>
      <protection hidden="1"/>
    </xf>
    <xf numFmtId="0" fontId="2" fillId="0" borderId="0" xfId="0" applyFont="1" applyAlignment="1" applyProtection="1">
      <alignment vertical="center" wrapText="1"/>
      <protection hidden="1"/>
    </xf>
    <xf numFmtId="0" fontId="2" fillId="0" borderId="2" xfId="0" applyFont="1" applyBorder="1" applyAlignment="1" applyProtection="1">
      <alignment vertical="center" wrapText="1"/>
      <protection hidden="1"/>
    </xf>
    <xf numFmtId="164" fontId="2" fillId="0" borderId="2" xfId="1" applyNumberFormat="1" applyFont="1" applyBorder="1" applyAlignment="1" applyProtection="1">
      <alignment vertical="center" wrapText="1"/>
      <protection hidden="1"/>
    </xf>
    <xf numFmtId="164" fontId="2" fillId="0" borderId="1" xfId="1" applyNumberFormat="1" applyFont="1" applyBorder="1" applyAlignment="1" applyProtection="1">
      <alignment vertical="center" wrapText="1"/>
      <protection hidden="1"/>
    </xf>
    <xf numFmtId="164" fontId="2" fillId="0" borderId="1" xfId="1" applyNumberFormat="1" applyFont="1" applyBorder="1" applyAlignment="1" applyProtection="1">
      <alignment horizontal="center" vertical="center" wrapText="1"/>
      <protection locked="0" hidden="1"/>
    </xf>
    <xf numFmtId="164" fontId="2" fillId="0" borderId="1" xfId="1" applyNumberFormat="1" applyFont="1" applyBorder="1" applyAlignment="1" applyProtection="1">
      <alignment horizontal="center" vertical="center" wrapText="1"/>
      <protection hidden="1"/>
    </xf>
    <xf numFmtId="0" fontId="2" fillId="2" borderId="1" xfId="0" applyFont="1" applyFill="1" applyBorder="1" applyAlignment="1" applyProtection="1">
      <alignment horizontal="left" vertical="center" wrapText="1"/>
      <protection hidden="1"/>
    </xf>
    <xf numFmtId="0" fontId="3" fillId="2" borderId="1" xfId="0" applyFont="1" applyFill="1" applyBorder="1" applyAlignment="1" applyProtection="1">
      <alignment horizontal="left" vertical="center" wrapText="1"/>
      <protection hidden="1"/>
    </xf>
    <xf numFmtId="164" fontId="2" fillId="0" borderId="0" xfId="1" applyNumberFormat="1" applyFont="1" applyBorder="1" applyAlignment="1" applyProtection="1">
      <alignment vertical="center" wrapText="1"/>
      <protection hidden="1"/>
    </xf>
    <xf numFmtId="164" fontId="2" fillId="0" borderId="0" xfId="1" applyNumberFormat="1" applyFont="1" applyBorder="1" applyAlignment="1" applyProtection="1">
      <alignment horizontal="center" vertical="center" wrapText="1"/>
      <protection locked="0" hidden="1"/>
    </xf>
    <xf numFmtId="164" fontId="2" fillId="0" borderId="0" xfId="1" applyNumberFormat="1" applyFont="1" applyBorder="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3" fillId="2" borderId="0" xfId="0" applyFont="1" applyFill="1" applyAlignment="1" applyProtection="1">
      <alignment horizontal="left" vertical="center" wrapText="1"/>
      <protection hidden="1"/>
    </xf>
    <xf numFmtId="0" fontId="2" fillId="0" borderId="3" xfId="0" applyFont="1" applyBorder="1" applyAlignment="1" applyProtection="1">
      <alignment vertical="center" wrapText="1"/>
      <protection hidden="1"/>
    </xf>
    <xf numFmtId="0" fontId="2" fillId="0" borderId="4" xfId="0" applyFont="1" applyBorder="1" applyAlignment="1" applyProtection="1">
      <alignment vertical="center" wrapText="1"/>
      <protection hidden="1"/>
    </xf>
    <xf numFmtId="164" fontId="2" fillId="0" borderId="0" xfId="1" applyNumberFormat="1" applyFont="1" applyFill="1" applyBorder="1" applyAlignment="1" applyProtection="1">
      <alignment vertical="center" wrapText="1"/>
      <protection hidden="1"/>
    </xf>
    <xf numFmtId="164" fontId="2" fillId="0" borderId="5" xfId="1" applyNumberFormat="1" applyFont="1" applyBorder="1" applyAlignment="1" applyProtection="1">
      <alignment vertical="center" wrapText="1"/>
      <protection hidden="1"/>
    </xf>
    <xf numFmtId="164" fontId="2" fillId="0" borderId="6" xfId="1" applyNumberFormat="1" applyFont="1" applyFill="1" applyBorder="1" applyAlignment="1" applyProtection="1">
      <alignment vertical="center" wrapText="1"/>
      <protection hidden="1"/>
    </xf>
    <xf numFmtId="164" fontId="3" fillId="0" borderId="7" xfId="1" applyNumberFormat="1" applyFont="1" applyBorder="1" applyAlignment="1" applyProtection="1">
      <alignment horizontal="center" vertical="center" wrapText="1"/>
      <protection hidden="1"/>
    </xf>
    <xf numFmtId="164" fontId="2" fillId="0" borderId="4" xfId="1" applyNumberFormat="1" applyFont="1" applyBorder="1" applyAlignment="1" applyProtection="1">
      <alignment vertical="center" wrapText="1"/>
      <protection hidden="1"/>
    </xf>
    <xf numFmtId="164" fontId="3" fillId="0" borderId="3" xfId="1" applyNumberFormat="1" applyFont="1" applyBorder="1" applyAlignment="1" applyProtection="1">
      <alignment horizontal="center" vertical="center" wrapText="1"/>
      <protection hidden="1"/>
    </xf>
    <xf numFmtId="164" fontId="3" fillId="0" borderId="3" xfId="1" applyNumberFormat="1" applyFont="1" applyBorder="1" applyAlignment="1" applyProtection="1">
      <alignment horizontal="right" vertical="center" wrapText="1"/>
      <protection hidden="1"/>
    </xf>
    <xf numFmtId="164" fontId="2" fillId="0" borderId="3" xfId="1" applyNumberFormat="1" applyFont="1" applyFill="1" applyBorder="1" applyAlignment="1" applyProtection="1">
      <alignment vertical="center" wrapText="1"/>
      <protection hidden="1"/>
    </xf>
    <xf numFmtId="164" fontId="4" fillId="0" borderId="0" xfId="0" applyNumberFormat="1" applyFont="1" applyAlignment="1">
      <alignment horizontal="center" vertical="center" wrapText="1"/>
    </xf>
    <xf numFmtId="164" fontId="3" fillId="0" borderId="7" xfId="0" applyNumberFormat="1" applyFont="1" applyBorder="1" applyAlignment="1">
      <alignment horizontal="center" wrapText="1"/>
    </xf>
    <xf numFmtId="0" fontId="2" fillId="0" borderId="3"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164" fontId="2" fillId="0" borderId="1" xfId="1" applyNumberFormat="1" applyFont="1" applyFill="1" applyBorder="1" applyAlignment="1" applyProtection="1">
      <alignment vertical="center" wrapText="1"/>
      <protection hidden="1"/>
    </xf>
    <xf numFmtId="164" fontId="0" fillId="0" borderId="8" xfId="0" applyNumberFormat="1" applyBorder="1"/>
    <xf numFmtId="164" fontId="2" fillId="0" borderId="9" xfId="1" applyNumberFormat="1" applyFont="1" applyFill="1" applyBorder="1" applyAlignment="1" applyProtection="1">
      <alignment vertical="center" wrapText="1"/>
      <protection hidden="1"/>
    </xf>
    <xf numFmtId="164" fontId="3" fillId="0" borderId="10" xfId="0" applyNumberFormat="1" applyFont="1" applyBorder="1" applyAlignment="1">
      <alignment horizontal="center" vertical="center" wrapText="1"/>
    </xf>
    <xf numFmtId="164" fontId="3" fillId="0" borderId="1" xfId="1" applyNumberFormat="1" applyFont="1" applyBorder="1" applyAlignment="1" applyProtection="1">
      <alignment horizontal="center" vertical="center" wrapText="1"/>
      <protection hidden="1"/>
    </xf>
    <xf numFmtId="164" fontId="3" fillId="0" borderId="1" xfId="1" applyNumberFormat="1" applyFont="1" applyBorder="1" applyAlignment="1" applyProtection="1">
      <alignment horizontal="right" vertical="center" wrapText="1"/>
      <protection hidden="1"/>
    </xf>
    <xf numFmtId="164" fontId="3" fillId="0" borderId="0" xfId="0" applyNumberFormat="1" applyFont="1" applyAlignment="1">
      <alignment horizontal="center" vertical="center" wrapText="1"/>
    </xf>
    <xf numFmtId="164" fontId="3" fillId="0" borderId="10" xfId="0" applyNumberFormat="1" applyFont="1" applyBorder="1" applyAlignment="1">
      <alignment horizontal="center" wrapText="1"/>
    </xf>
    <xf numFmtId="0" fontId="2" fillId="0" borderId="1" xfId="0" applyFont="1" applyBorder="1" applyAlignment="1" applyProtection="1">
      <alignment horizontal="left" vertical="center" wrapText="1"/>
      <protection hidden="1"/>
    </xf>
    <xf numFmtId="0" fontId="2" fillId="0" borderId="1" xfId="0" applyFont="1" applyBorder="1" applyAlignment="1" applyProtection="1">
      <alignment horizontal="left" vertical="center"/>
      <protection hidden="1"/>
    </xf>
    <xf numFmtId="164" fontId="2" fillId="0" borderId="11" xfId="1" applyNumberFormat="1" applyFont="1" applyFill="1" applyBorder="1" applyAlignment="1" applyProtection="1">
      <alignment vertical="center" wrapText="1"/>
      <protection hidden="1"/>
    </xf>
    <xf numFmtId="164" fontId="2" fillId="0" borderId="12" xfId="1" applyNumberFormat="1" applyFont="1" applyFill="1" applyBorder="1" applyAlignment="1" applyProtection="1">
      <alignment vertical="center" wrapText="1"/>
      <protection hidden="1"/>
    </xf>
    <xf numFmtId="164" fontId="0" fillId="0" borderId="5" xfId="0" applyNumberFormat="1" applyBorder="1"/>
    <xf numFmtId="164" fontId="3" fillId="0" borderId="7" xfId="0" applyNumberFormat="1" applyFont="1" applyBorder="1" applyAlignment="1">
      <alignment horizontal="center" vertical="center" wrapText="1"/>
    </xf>
    <xf numFmtId="0" fontId="2" fillId="0" borderId="3" xfId="0" applyFont="1" applyBorder="1" applyAlignment="1" applyProtection="1">
      <alignment horizontal="left" vertical="center"/>
      <protection hidden="1"/>
    </xf>
    <xf numFmtId="164" fontId="0" fillId="0" borderId="7" xfId="0" applyNumberFormat="1" applyBorder="1"/>
    <xf numFmtId="164" fontId="0" fillId="0" borderId="10" xfId="0" applyNumberFormat="1" applyBorder="1"/>
    <xf numFmtId="49" fontId="3" fillId="0" borderId="1" xfId="0" applyNumberFormat="1" applyFont="1" applyBorder="1" applyAlignment="1" applyProtection="1">
      <alignment horizontal="left" vertical="center" wrapText="1"/>
      <protection hidden="1"/>
    </xf>
    <xf numFmtId="49" fontId="2" fillId="0" borderId="1" xfId="0" applyNumberFormat="1" applyFont="1" applyBorder="1" applyAlignment="1" applyProtection="1">
      <alignment horizontal="left" vertical="center"/>
      <protection locked="0"/>
    </xf>
    <xf numFmtId="49" fontId="3" fillId="0" borderId="1" xfId="0" applyNumberFormat="1" applyFont="1" applyBorder="1" applyAlignment="1" applyProtection="1">
      <alignment horizontal="left" vertical="center" wrapText="1"/>
      <protection locked="0"/>
    </xf>
    <xf numFmtId="164" fontId="2" fillId="0" borderId="2" xfId="1" applyNumberFormat="1" applyFont="1" applyFill="1" applyBorder="1" applyAlignment="1" applyProtection="1">
      <alignment vertical="center" wrapText="1"/>
      <protection hidden="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164" fontId="2" fillId="0" borderId="10" xfId="1" applyNumberFormat="1" applyFont="1" applyBorder="1" applyAlignment="1" applyProtection="1">
      <alignment vertical="center" wrapText="1"/>
      <protection hidden="1"/>
    </xf>
    <xf numFmtId="164" fontId="3" fillId="0" borderId="10" xfId="1" applyNumberFormat="1" applyFont="1" applyBorder="1" applyAlignment="1" applyProtection="1">
      <alignment horizontal="center" vertical="center" wrapText="1"/>
      <protection hidden="1"/>
    </xf>
    <xf numFmtId="165" fontId="6" fillId="0" borderId="2" xfId="0" applyNumberFormat="1" applyFont="1" applyBorder="1" applyAlignment="1">
      <alignment horizontal="center" vertical="center"/>
    </xf>
    <xf numFmtId="165" fontId="6" fillId="0" borderId="11" xfId="0" applyNumberFormat="1" applyFont="1" applyBorder="1" applyAlignment="1">
      <alignment horizontal="center" vertical="center"/>
    </xf>
    <xf numFmtId="0" fontId="7" fillId="0" borderId="1" xfId="0" applyFont="1" applyBorder="1" applyAlignment="1">
      <alignment horizontal="center" vertical="center"/>
    </xf>
    <xf numFmtId="164" fontId="2" fillId="0" borderId="11" xfId="1" applyNumberFormat="1" applyFont="1" applyBorder="1" applyAlignment="1" applyProtection="1">
      <alignment vertical="center" wrapText="1"/>
      <protection hidden="1"/>
    </xf>
    <xf numFmtId="0" fontId="0" fillId="0" borderId="1" xfId="0" applyBorder="1" applyAlignment="1">
      <alignment horizontal="left" vertical="center"/>
    </xf>
    <xf numFmtId="0" fontId="0" fillId="0" borderId="1" xfId="0" applyBorder="1" applyAlignment="1">
      <alignment horizontal="left" vertical="top" wrapText="1"/>
    </xf>
    <xf numFmtId="0" fontId="2" fillId="0" borderId="1" xfId="0" applyFont="1" applyBorder="1" applyAlignment="1" applyProtection="1">
      <alignment horizontal="left" vertical="top"/>
      <protection hidden="1"/>
    </xf>
    <xf numFmtId="164" fontId="3" fillId="0" borderId="2" xfId="1" applyNumberFormat="1" applyFont="1" applyBorder="1" applyAlignment="1" applyProtection="1">
      <alignment vertical="center" wrapText="1"/>
      <protection hidden="1"/>
    </xf>
    <xf numFmtId="164" fontId="3" fillId="0" borderId="0" xfId="0" applyNumberFormat="1" applyFont="1" applyAlignment="1">
      <alignment horizontal="center" wrapText="1"/>
    </xf>
    <xf numFmtId="164" fontId="2" fillId="0" borderId="2" xfId="1" applyNumberFormat="1" applyFont="1" applyBorder="1" applyAlignment="1" applyProtection="1">
      <alignment horizontal="center" vertical="center" wrapText="1"/>
      <protection hidden="1"/>
    </xf>
    <xf numFmtId="164" fontId="2" fillId="0" borderId="1" xfId="1" applyNumberFormat="1" applyFont="1" applyFill="1" applyBorder="1" applyAlignment="1" applyProtection="1">
      <alignment horizontal="center" vertical="center" wrapText="1"/>
      <protection hidden="1"/>
    </xf>
    <xf numFmtId="164" fontId="8" fillId="3" borderId="3" xfId="1" applyNumberFormat="1" applyFont="1" applyFill="1" applyBorder="1" applyAlignment="1">
      <alignment horizontal="center" vertical="center" wrapText="1"/>
    </xf>
    <xf numFmtId="164" fontId="8" fillId="3" borderId="11" xfId="1" applyNumberFormat="1" applyFont="1" applyFill="1" applyBorder="1" applyAlignment="1">
      <alignment horizontal="center" vertical="center" wrapText="1"/>
    </xf>
    <xf numFmtId="164" fontId="8" fillId="4" borderId="10" xfId="1" applyNumberFormat="1" applyFont="1" applyFill="1" applyBorder="1" applyAlignment="1" applyProtection="1">
      <alignment horizontal="center" vertical="center" wrapText="1"/>
      <protection hidden="1"/>
    </xf>
    <xf numFmtId="164" fontId="8" fillId="5" borderId="1" xfId="1" applyNumberFormat="1" applyFont="1" applyFill="1" applyBorder="1" applyAlignment="1">
      <alignment horizontal="center" vertical="center" wrapText="1"/>
    </xf>
    <xf numFmtId="164" fontId="8" fillId="0" borderId="1" xfId="1" applyNumberFormat="1" applyFont="1" applyBorder="1" applyAlignment="1" applyProtection="1">
      <alignment horizontal="center" vertical="center" wrapText="1"/>
      <protection locked="0" hidden="1"/>
    </xf>
    <xf numFmtId="164" fontId="8" fillId="4" borderId="1" xfId="1" applyNumberFormat="1" applyFont="1" applyFill="1" applyBorder="1" applyAlignment="1" applyProtection="1">
      <alignment horizontal="center" vertical="center" wrapText="1"/>
      <protection hidden="1"/>
    </xf>
    <xf numFmtId="164" fontId="8" fillId="3" borderId="1" xfId="1" applyNumberFormat="1" applyFont="1" applyFill="1" applyBorder="1" applyAlignment="1">
      <alignment horizontal="center" vertical="center" wrapText="1"/>
    </xf>
    <xf numFmtId="49" fontId="8" fillId="3" borderId="0" xfId="0" applyNumberFormat="1" applyFont="1" applyFill="1" applyAlignment="1" applyProtection="1">
      <alignment horizontal="center" vertical="center" wrapText="1"/>
      <protection hidden="1"/>
    </xf>
    <xf numFmtId="49" fontId="8" fillId="3" borderId="10" xfId="0" applyNumberFormat="1" applyFont="1" applyFill="1" applyBorder="1" applyAlignment="1" applyProtection="1">
      <alignment horizontal="center" vertical="center" wrapText="1"/>
      <protection hidden="1"/>
    </xf>
    <xf numFmtId="49" fontId="8" fillId="3" borderId="1" xfId="0" applyNumberFormat="1" applyFont="1" applyFill="1" applyBorder="1" applyAlignment="1" applyProtection="1">
      <alignment horizontal="center" vertical="center" wrapText="1"/>
      <protection hidden="1"/>
    </xf>
    <xf numFmtId="164" fontId="9" fillId="0" borderId="1" xfId="1" applyNumberFormat="1" applyFont="1" applyBorder="1" applyAlignment="1" applyProtection="1">
      <alignment horizontal="center" vertical="center" wrapText="1"/>
      <protection locked="0" hidden="1"/>
    </xf>
    <xf numFmtId="164" fontId="9" fillId="0" borderId="1" xfId="1" applyNumberFormat="1" applyFont="1" applyBorder="1" applyAlignment="1" applyProtection="1">
      <alignment vertical="center" wrapText="1"/>
      <protection hidden="1"/>
    </xf>
    <xf numFmtId="0" fontId="9" fillId="0" borderId="1" xfId="0" applyFont="1" applyBorder="1" applyAlignment="1" applyProtection="1">
      <alignment horizontal="left" vertical="center" wrapText="1"/>
      <protection hidden="1"/>
    </xf>
  </cellXfs>
  <cellStyles count="2">
    <cellStyle name="Moneda" xfId="1" builtinId="4"/>
    <cellStyle name="Normal" xfId="0" builtinId="0"/>
  </cellStyles>
  <dxfs count="22">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right style="thin">
          <color theme="1"/>
        </right>
        <top style="thin">
          <color theme="1"/>
        </top>
        <bottom style="thin">
          <color theme="1"/>
        </bottom>
      </border>
      <protection locked="1" hidden="1"/>
    </dxf>
    <dxf>
      <numFmt numFmtId="164" formatCode="_-&quot;$&quot;\ * #,##0_-;\-&quot;$&quot;\ * #,##0_-;_-&quot;$&quot;\ * &quot;-&quot;??_-;_-@_-"/>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general" vertical="center" textRotation="0" wrapText="1" indent="0" justifyLastLine="0" shrinkToFit="0" readingOrder="0"/>
      <border diagonalUp="0" diagonalDown="0">
        <left style="thin">
          <color theme="1"/>
        </left>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0"/>
        <color auto="1"/>
      </font>
      <numFmt numFmtId="164" formatCode="_-&quot;$&quot;\ * #,##0_-;\-&quot;$&quot;\ * #,##0_-;_-&quot;$&quot;\ * &quot;-&quot;??_-;_-@_-"/>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quot;$&quot;\ * #,##0_-;\-&quot;$&quot;\ * #,##0_-;_-&quot;$&quot;\ * &quot;-&quot;??_-;_-@_-"/>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1"/>
        </left>
        <right style="thin">
          <color indexed="64"/>
        </right>
        <top style="thin">
          <color theme="1"/>
        </top>
        <bottom style="thin">
          <color theme="1"/>
        </bottom>
      </border>
      <protection locked="1" hidden="1"/>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protection locked="1" hidden="1"/>
    </dxf>
    <dxf>
      <font>
        <color rgb="FFFF0000"/>
      </font>
    </dxf>
    <dxf>
      <border outline="0">
        <left style="thin">
          <color theme="1"/>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0</xdr:colOff>
      <xdr:row>190</xdr:row>
      <xdr:rowOff>185281</xdr:rowOff>
    </xdr:from>
    <xdr:ext cx="1123705" cy="0"/>
    <xdr:pic>
      <xdr:nvPicPr>
        <xdr:cNvPr id="2" name="Imagen 1">
          <a:extLst>
            <a:ext uri="{FF2B5EF4-FFF2-40B4-BE49-F238E27FC236}">
              <a16:creationId xmlns:a16="http://schemas.microsoft.com/office/drawing/2014/main" id="{94CF62E3-CE25-4DB7-BF71-ED7C7C5F61D1}"/>
            </a:ext>
          </a:extLst>
        </xdr:cNvPr>
        <xdr:cNvPicPr>
          <a:picLocks noChangeAspect="1"/>
        </xdr:cNvPicPr>
      </xdr:nvPicPr>
      <xdr:blipFill>
        <a:blip xmlns:r="http://schemas.openxmlformats.org/officeDocument/2006/relationships" r:embed="rId1"/>
        <a:stretch>
          <a:fillRect/>
        </a:stretch>
      </xdr:blipFill>
      <xdr:spPr>
        <a:xfrm>
          <a:off x="0" y="36380281"/>
          <a:ext cx="1123705" cy="0"/>
        </a:xfrm>
        <a:prstGeom prst="rect">
          <a:avLst/>
        </a:prstGeom>
      </xdr:spPr>
    </xdr:pic>
    <xdr:clientData/>
  </xdr:oneCellAnchor>
  <xdr:twoCellAnchor>
    <xdr:from>
      <xdr:col>0</xdr:col>
      <xdr:colOff>0</xdr:colOff>
      <xdr:row>108</xdr:row>
      <xdr:rowOff>317500</xdr:rowOff>
    </xdr:from>
    <xdr:to>
      <xdr:col>0</xdr:col>
      <xdr:colOff>9525</xdr:colOff>
      <xdr:row>108</xdr:row>
      <xdr:rowOff>774700</xdr:rowOff>
    </xdr:to>
    <xdr:pic>
      <xdr:nvPicPr>
        <xdr:cNvPr id="3" name="Imagen 2" descr="立体图">
          <a:extLst>
            <a:ext uri="{FF2B5EF4-FFF2-40B4-BE49-F238E27FC236}">
              <a16:creationId xmlns:a16="http://schemas.microsoft.com/office/drawing/2014/main" id="{5B895D3B-C847-4035-8440-7AA7617296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0767675"/>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106</xdr:row>
      <xdr:rowOff>0</xdr:rowOff>
    </xdr:from>
    <xdr:to>
      <xdr:col>0</xdr:col>
      <xdr:colOff>0</xdr:colOff>
      <xdr:row>106</xdr:row>
      <xdr:rowOff>0</xdr:rowOff>
    </xdr:to>
    <xdr:pic>
      <xdr:nvPicPr>
        <xdr:cNvPr id="4" name="Imagen 51">
          <a:extLst>
            <a:ext uri="{FF2B5EF4-FFF2-40B4-BE49-F238E27FC236}">
              <a16:creationId xmlns:a16="http://schemas.microsoft.com/office/drawing/2014/main" id="{E998B608-85A1-48AA-A9D8-2262C18690E6}"/>
            </a:ext>
          </a:extLst>
        </xdr:cNvPr>
        <xdr:cNvPicPr>
          <a:picLocks noChangeAspect="1"/>
        </xdr:cNvPicPr>
      </xdr:nvPicPr>
      <xdr:blipFill>
        <a:blip xmlns:r="http://schemas.openxmlformats.org/officeDocument/2006/relationships" r:embed="rId3"/>
        <a:stretch>
          <a:fillRect/>
        </a:stretch>
      </xdr:blipFill>
      <xdr:spPr>
        <a:xfrm>
          <a:off x="0" y="20193000"/>
          <a:ext cx="0" cy="0"/>
        </a:xfrm>
        <a:prstGeom prst="rect">
          <a:avLst/>
        </a:prstGeom>
      </xdr:spPr>
    </xdr:pic>
    <xdr:clientData/>
  </xdr:twoCellAnchor>
  <xdr:twoCellAnchor>
    <xdr:from>
      <xdr:col>0</xdr:col>
      <xdr:colOff>0</xdr:colOff>
      <xdr:row>200</xdr:row>
      <xdr:rowOff>161113</xdr:rowOff>
    </xdr:from>
    <xdr:to>
      <xdr:col>0</xdr:col>
      <xdr:colOff>0</xdr:colOff>
      <xdr:row>200</xdr:row>
      <xdr:rowOff>1037317</xdr:rowOff>
    </xdr:to>
    <xdr:pic>
      <xdr:nvPicPr>
        <xdr:cNvPr id="5" name="图片 45">
          <a:extLst>
            <a:ext uri="{FF2B5EF4-FFF2-40B4-BE49-F238E27FC236}">
              <a16:creationId xmlns:a16="http://schemas.microsoft.com/office/drawing/2014/main" id="{703B74D3-A530-4769-B933-386CAB8B3770}"/>
            </a:ext>
          </a:extLst>
        </xdr:cNvPr>
        <xdr:cNvPicPr>
          <a:picLocks noChangeAspect="1"/>
        </xdr:cNvPicPr>
      </xdr:nvPicPr>
      <xdr:blipFill>
        <a:blip xmlns:r="http://schemas.openxmlformats.org/officeDocument/2006/relationships" r:embed="rId4"/>
        <a:stretch>
          <a:fillRect/>
        </a:stretch>
      </xdr:blipFill>
      <xdr:spPr>
        <a:xfrm>
          <a:off x="0" y="38261113"/>
          <a:ext cx="0" cy="28479"/>
        </a:xfrm>
        <a:prstGeom prst="rect">
          <a:avLst/>
        </a:prstGeom>
      </xdr:spPr>
    </xdr:pic>
    <xdr:clientData/>
  </xdr:twoCellAnchor>
  <xdr:twoCellAnchor>
    <xdr:from>
      <xdr:col>0</xdr:col>
      <xdr:colOff>0</xdr:colOff>
      <xdr:row>104</xdr:row>
      <xdr:rowOff>172357</xdr:rowOff>
    </xdr:from>
    <xdr:to>
      <xdr:col>0</xdr:col>
      <xdr:colOff>0</xdr:colOff>
      <xdr:row>104</xdr:row>
      <xdr:rowOff>1036864</xdr:rowOff>
    </xdr:to>
    <xdr:pic>
      <xdr:nvPicPr>
        <xdr:cNvPr id="6" name="图片 40">
          <a:extLst>
            <a:ext uri="{FF2B5EF4-FFF2-40B4-BE49-F238E27FC236}">
              <a16:creationId xmlns:a16="http://schemas.microsoft.com/office/drawing/2014/main" id="{90AF837B-BAA2-4DE6-B0AF-E0E5FB6BE61A}"/>
            </a:ext>
          </a:extLst>
        </xdr:cNvPr>
        <xdr:cNvPicPr>
          <a:picLocks noChangeAspect="1"/>
        </xdr:cNvPicPr>
      </xdr:nvPicPr>
      <xdr:blipFill>
        <a:blip xmlns:r="http://schemas.openxmlformats.org/officeDocument/2006/relationships" r:embed="rId5"/>
        <a:stretch>
          <a:fillRect/>
        </a:stretch>
      </xdr:blipFill>
      <xdr:spPr>
        <a:xfrm>
          <a:off x="0" y="19984357"/>
          <a:ext cx="0" cy="16782"/>
        </a:xfrm>
        <a:prstGeom prst="rect">
          <a:avLst/>
        </a:prstGeom>
      </xdr:spPr>
    </xdr:pic>
    <xdr:clientData/>
  </xdr:twoCellAnchor>
  <xdr:twoCellAnchor>
    <xdr:from>
      <xdr:col>0</xdr:col>
      <xdr:colOff>0</xdr:colOff>
      <xdr:row>90</xdr:row>
      <xdr:rowOff>295108</xdr:rowOff>
    </xdr:from>
    <xdr:to>
      <xdr:col>0</xdr:col>
      <xdr:colOff>5530</xdr:colOff>
      <xdr:row>90</xdr:row>
      <xdr:rowOff>906729</xdr:rowOff>
    </xdr:to>
    <xdr:pic>
      <xdr:nvPicPr>
        <xdr:cNvPr id="7" name="Imagen 18">
          <a:extLst>
            <a:ext uri="{FF2B5EF4-FFF2-40B4-BE49-F238E27FC236}">
              <a16:creationId xmlns:a16="http://schemas.microsoft.com/office/drawing/2014/main" id="{C4185717-21C0-438C-8C43-9D5A3CD396A2}"/>
            </a:ext>
          </a:extLst>
        </xdr:cNvPr>
        <xdr:cNvPicPr>
          <a:picLocks noChangeAspect="1"/>
        </xdr:cNvPicPr>
      </xdr:nvPicPr>
      <xdr:blipFill>
        <a:blip xmlns:r="http://schemas.openxmlformats.org/officeDocument/2006/relationships" r:embed="rId6"/>
        <a:stretch>
          <a:fillRect/>
        </a:stretch>
      </xdr:blipFill>
      <xdr:spPr>
        <a:xfrm>
          <a:off x="0" y="17335333"/>
          <a:ext cx="5530" cy="2021"/>
        </a:xfrm>
        <a:prstGeom prst="rect">
          <a:avLst/>
        </a:prstGeom>
      </xdr:spPr>
    </xdr:pic>
    <xdr:clientData/>
  </xdr:twoCellAnchor>
  <xdr:twoCellAnchor>
    <xdr:from>
      <xdr:col>0</xdr:col>
      <xdr:colOff>0</xdr:colOff>
      <xdr:row>103</xdr:row>
      <xdr:rowOff>37812</xdr:rowOff>
    </xdr:from>
    <xdr:to>
      <xdr:col>0</xdr:col>
      <xdr:colOff>0</xdr:colOff>
      <xdr:row>103</xdr:row>
      <xdr:rowOff>885825</xdr:rowOff>
    </xdr:to>
    <xdr:pic>
      <xdr:nvPicPr>
        <xdr:cNvPr id="8" name="Imagen 23">
          <a:extLst>
            <a:ext uri="{FF2B5EF4-FFF2-40B4-BE49-F238E27FC236}">
              <a16:creationId xmlns:a16="http://schemas.microsoft.com/office/drawing/2014/main" id="{C8464789-6CEF-4FE7-BAAF-89A46898AADC}"/>
            </a:ext>
          </a:extLst>
        </xdr:cNvPr>
        <xdr:cNvPicPr>
          <a:picLocks noChangeAspect="1"/>
        </xdr:cNvPicPr>
      </xdr:nvPicPr>
      <xdr:blipFill>
        <a:blip xmlns:r="http://schemas.openxmlformats.org/officeDocument/2006/relationships" r:embed="rId7"/>
        <a:stretch>
          <a:fillRect/>
        </a:stretch>
      </xdr:blipFill>
      <xdr:spPr>
        <a:xfrm>
          <a:off x="0" y="19659312"/>
          <a:ext cx="0" cy="152688"/>
        </a:xfrm>
        <a:prstGeom prst="rect">
          <a:avLst/>
        </a:prstGeom>
      </xdr:spPr>
    </xdr:pic>
    <xdr:clientData/>
  </xdr:twoCellAnchor>
  <xdr:twoCellAnchor>
    <xdr:from>
      <xdr:col>0</xdr:col>
      <xdr:colOff>0</xdr:colOff>
      <xdr:row>131</xdr:row>
      <xdr:rowOff>187870</xdr:rowOff>
    </xdr:from>
    <xdr:to>
      <xdr:col>0</xdr:col>
      <xdr:colOff>0</xdr:colOff>
      <xdr:row>131</xdr:row>
      <xdr:rowOff>736413</xdr:rowOff>
    </xdr:to>
    <xdr:pic>
      <xdr:nvPicPr>
        <xdr:cNvPr id="9" name="Imagen 32">
          <a:extLst>
            <a:ext uri="{FF2B5EF4-FFF2-40B4-BE49-F238E27FC236}">
              <a16:creationId xmlns:a16="http://schemas.microsoft.com/office/drawing/2014/main" id="{6DAB2FD7-D296-42A3-ACF9-8C1649B1EBED}"/>
            </a:ext>
          </a:extLst>
        </xdr:cNvPr>
        <xdr:cNvPicPr>
          <a:picLocks noChangeAspect="1"/>
        </xdr:cNvPicPr>
      </xdr:nvPicPr>
      <xdr:blipFill>
        <a:blip xmlns:r="http://schemas.openxmlformats.org/officeDocument/2006/relationships" r:embed="rId8"/>
        <a:stretch>
          <a:fillRect/>
        </a:stretch>
      </xdr:blipFill>
      <xdr:spPr>
        <a:xfrm>
          <a:off x="0" y="25143370"/>
          <a:ext cx="0" cy="5618"/>
        </a:xfrm>
        <a:prstGeom prst="rect">
          <a:avLst/>
        </a:prstGeom>
      </xdr:spPr>
    </xdr:pic>
    <xdr:clientData/>
  </xdr:twoCellAnchor>
  <xdr:twoCellAnchor>
    <xdr:from>
      <xdr:col>0</xdr:col>
      <xdr:colOff>0</xdr:colOff>
      <xdr:row>29</xdr:row>
      <xdr:rowOff>149412</xdr:rowOff>
    </xdr:from>
    <xdr:to>
      <xdr:col>0</xdr:col>
      <xdr:colOff>0</xdr:colOff>
      <xdr:row>29</xdr:row>
      <xdr:rowOff>1198469</xdr:rowOff>
    </xdr:to>
    <xdr:pic>
      <xdr:nvPicPr>
        <xdr:cNvPr id="10" name="Imagen 39">
          <a:extLst>
            <a:ext uri="{FF2B5EF4-FFF2-40B4-BE49-F238E27FC236}">
              <a16:creationId xmlns:a16="http://schemas.microsoft.com/office/drawing/2014/main" id="{667F9295-1458-4D5D-8F3D-C6A06D86243C}"/>
            </a:ext>
          </a:extLst>
        </xdr:cNvPr>
        <xdr:cNvPicPr>
          <a:picLocks noChangeAspect="1"/>
        </xdr:cNvPicPr>
      </xdr:nvPicPr>
      <xdr:blipFill>
        <a:blip xmlns:r="http://schemas.openxmlformats.org/officeDocument/2006/relationships" r:embed="rId9"/>
        <a:stretch>
          <a:fillRect/>
        </a:stretch>
      </xdr:blipFill>
      <xdr:spPr>
        <a:xfrm>
          <a:off x="0" y="5673912"/>
          <a:ext cx="0" cy="39407"/>
        </a:xfrm>
        <a:prstGeom prst="rect">
          <a:avLst/>
        </a:prstGeom>
      </xdr:spPr>
    </xdr:pic>
    <xdr:clientData/>
  </xdr:twoCellAnchor>
  <xdr:twoCellAnchor>
    <xdr:from>
      <xdr:col>0</xdr:col>
      <xdr:colOff>0</xdr:colOff>
      <xdr:row>96</xdr:row>
      <xdr:rowOff>246528</xdr:rowOff>
    </xdr:from>
    <xdr:to>
      <xdr:col>0</xdr:col>
      <xdr:colOff>0</xdr:colOff>
      <xdr:row>96</xdr:row>
      <xdr:rowOff>903938</xdr:rowOff>
    </xdr:to>
    <xdr:pic>
      <xdr:nvPicPr>
        <xdr:cNvPr id="11" name="Imagen 41">
          <a:extLst>
            <a:ext uri="{FF2B5EF4-FFF2-40B4-BE49-F238E27FC236}">
              <a16:creationId xmlns:a16="http://schemas.microsoft.com/office/drawing/2014/main" id="{EB4FA928-226A-452A-9308-13A981FA8BAE}"/>
            </a:ext>
          </a:extLst>
        </xdr:cNvPr>
        <xdr:cNvPicPr>
          <a:picLocks noChangeAspect="1"/>
        </xdr:cNvPicPr>
      </xdr:nvPicPr>
      <xdr:blipFill>
        <a:blip xmlns:r="http://schemas.openxmlformats.org/officeDocument/2006/relationships" r:embed="rId1"/>
        <a:stretch>
          <a:fillRect/>
        </a:stretch>
      </xdr:blipFill>
      <xdr:spPr>
        <a:xfrm>
          <a:off x="0" y="18477378"/>
          <a:ext cx="0" cy="185"/>
        </a:xfrm>
        <a:prstGeom prst="rect">
          <a:avLst/>
        </a:prstGeom>
      </xdr:spPr>
    </xdr:pic>
    <xdr:clientData/>
  </xdr:twoCellAnchor>
  <xdr:twoCellAnchor>
    <xdr:from>
      <xdr:col>0</xdr:col>
      <xdr:colOff>0</xdr:colOff>
      <xdr:row>71</xdr:row>
      <xdr:rowOff>208643</xdr:rowOff>
    </xdr:from>
    <xdr:to>
      <xdr:col>0</xdr:col>
      <xdr:colOff>0</xdr:colOff>
      <xdr:row>71</xdr:row>
      <xdr:rowOff>988784</xdr:rowOff>
    </xdr:to>
    <xdr:pic>
      <xdr:nvPicPr>
        <xdr:cNvPr id="12" name="Imagen 42">
          <a:extLst>
            <a:ext uri="{FF2B5EF4-FFF2-40B4-BE49-F238E27FC236}">
              <a16:creationId xmlns:a16="http://schemas.microsoft.com/office/drawing/2014/main" id="{D7057159-B6F6-4C7A-A2AE-E16F151E2DE0}"/>
            </a:ext>
          </a:extLst>
        </xdr:cNvPr>
        <xdr:cNvPicPr>
          <a:picLocks noChangeAspect="1"/>
        </xdr:cNvPicPr>
      </xdr:nvPicPr>
      <xdr:blipFill>
        <a:blip xmlns:r="http://schemas.openxmlformats.org/officeDocument/2006/relationships" r:embed="rId10"/>
        <a:stretch>
          <a:fillRect/>
        </a:stretch>
      </xdr:blipFill>
      <xdr:spPr>
        <a:xfrm>
          <a:off x="0" y="13715093"/>
          <a:ext cx="0" cy="0"/>
        </a:xfrm>
        <a:prstGeom prst="rect">
          <a:avLst/>
        </a:prstGeom>
      </xdr:spPr>
    </xdr:pic>
    <xdr:clientData/>
  </xdr:twoCellAnchor>
  <xdr:twoCellAnchor>
    <xdr:from>
      <xdr:col>0</xdr:col>
      <xdr:colOff>0</xdr:colOff>
      <xdr:row>5</xdr:row>
      <xdr:rowOff>45358</xdr:rowOff>
    </xdr:from>
    <xdr:to>
      <xdr:col>0</xdr:col>
      <xdr:colOff>0</xdr:colOff>
      <xdr:row>5</xdr:row>
      <xdr:rowOff>1262912</xdr:rowOff>
    </xdr:to>
    <xdr:pic>
      <xdr:nvPicPr>
        <xdr:cNvPr id="13" name="图片 41">
          <a:extLst>
            <a:ext uri="{FF2B5EF4-FFF2-40B4-BE49-F238E27FC236}">
              <a16:creationId xmlns:a16="http://schemas.microsoft.com/office/drawing/2014/main" id="{D8B246EE-3702-4FAD-B293-C36FFED8E257}"/>
            </a:ext>
          </a:extLst>
        </xdr:cNvPr>
        <xdr:cNvPicPr>
          <a:picLocks noChangeAspect="1" noChangeArrowheads="1"/>
        </xdr:cNvPicPr>
      </xdr:nvPicPr>
      <xdr:blipFill>
        <a:blip xmlns:r="http://schemas.openxmlformats.org/officeDocument/2006/relationships" r:embed="rId11"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flipH="1">
          <a:off x="0" y="997858"/>
          <a:ext cx="0" cy="1412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2</xdr:row>
      <xdr:rowOff>51614</xdr:rowOff>
    </xdr:from>
    <xdr:to>
      <xdr:col>0</xdr:col>
      <xdr:colOff>0</xdr:colOff>
      <xdr:row>2</xdr:row>
      <xdr:rowOff>1178465</xdr:rowOff>
    </xdr:to>
    <xdr:pic>
      <xdr:nvPicPr>
        <xdr:cNvPr id="14" name="图片 42">
          <a:extLst>
            <a:ext uri="{FF2B5EF4-FFF2-40B4-BE49-F238E27FC236}">
              <a16:creationId xmlns:a16="http://schemas.microsoft.com/office/drawing/2014/main" id="{AC52EC89-1283-4E75-AFBB-30DE110C4462}"/>
            </a:ext>
          </a:extLst>
        </xdr:cNvPr>
        <xdr:cNvPicPr>
          <a:picLocks noChangeAspect="1" noChangeArrowheads="1"/>
        </xdr:cNvPicPr>
      </xdr:nvPicPr>
      <xdr:blipFill>
        <a:blip xmlns:r="http://schemas.openxmlformats.org/officeDocument/2006/relationships" r:embed="rId12"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a:off x="0" y="432614"/>
          <a:ext cx="0" cy="13625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11</xdr:row>
      <xdr:rowOff>114516</xdr:rowOff>
    </xdr:from>
    <xdr:to>
      <xdr:col>0</xdr:col>
      <xdr:colOff>0</xdr:colOff>
      <xdr:row>11</xdr:row>
      <xdr:rowOff>1242786</xdr:rowOff>
    </xdr:to>
    <xdr:pic>
      <xdr:nvPicPr>
        <xdr:cNvPr id="15" name="图片 4">
          <a:extLst>
            <a:ext uri="{FF2B5EF4-FFF2-40B4-BE49-F238E27FC236}">
              <a16:creationId xmlns:a16="http://schemas.microsoft.com/office/drawing/2014/main" id="{B367F48E-05BB-480B-81F8-2328AA7593FD}"/>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0" y="2210016"/>
          <a:ext cx="0" cy="80520"/>
        </a:xfrm>
        <a:prstGeom prst="rect">
          <a:avLst/>
        </a:prstGeom>
      </xdr:spPr>
    </xdr:pic>
    <xdr:clientData/>
  </xdr:twoCellAnchor>
  <xdr:twoCellAnchor>
    <xdr:from>
      <xdr:col>0</xdr:col>
      <xdr:colOff>0</xdr:colOff>
      <xdr:row>3</xdr:row>
      <xdr:rowOff>357910</xdr:rowOff>
    </xdr:from>
    <xdr:to>
      <xdr:col>0</xdr:col>
      <xdr:colOff>0</xdr:colOff>
      <xdr:row>3</xdr:row>
      <xdr:rowOff>1004456</xdr:rowOff>
    </xdr:to>
    <xdr:pic>
      <xdr:nvPicPr>
        <xdr:cNvPr id="16" name="Imagen 50">
          <a:extLst>
            <a:ext uri="{FF2B5EF4-FFF2-40B4-BE49-F238E27FC236}">
              <a16:creationId xmlns:a16="http://schemas.microsoft.com/office/drawing/2014/main" id="{31977A9E-ED22-465B-ADC1-05A80AE100EC}"/>
            </a:ext>
          </a:extLst>
        </xdr:cNvPr>
        <xdr:cNvPicPr>
          <a:picLocks noChangeAspect="1"/>
        </xdr:cNvPicPr>
      </xdr:nvPicPr>
      <xdr:blipFill>
        <a:blip xmlns:r="http://schemas.openxmlformats.org/officeDocument/2006/relationships" r:embed="rId6"/>
        <a:stretch>
          <a:fillRect/>
        </a:stretch>
      </xdr:blipFill>
      <xdr:spPr>
        <a:xfrm>
          <a:off x="0" y="757960"/>
          <a:ext cx="0" cy="8371"/>
        </a:xfrm>
        <a:prstGeom prst="rect">
          <a:avLst/>
        </a:prstGeom>
      </xdr:spPr>
    </xdr:pic>
    <xdr:clientData/>
  </xdr:twoCellAnchor>
  <xdr:twoCellAnchor>
    <xdr:from>
      <xdr:col>0</xdr:col>
      <xdr:colOff>0</xdr:colOff>
      <xdr:row>128</xdr:row>
      <xdr:rowOff>17929</xdr:rowOff>
    </xdr:from>
    <xdr:to>
      <xdr:col>0</xdr:col>
      <xdr:colOff>0</xdr:colOff>
      <xdr:row>128</xdr:row>
      <xdr:rowOff>1117400</xdr:rowOff>
    </xdr:to>
    <xdr:pic>
      <xdr:nvPicPr>
        <xdr:cNvPr id="17" name="Imagen 53">
          <a:extLst>
            <a:ext uri="{FF2B5EF4-FFF2-40B4-BE49-F238E27FC236}">
              <a16:creationId xmlns:a16="http://schemas.microsoft.com/office/drawing/2014/main" id="{21F2DCAB-5441-4EFF-9042-22127428E908}"/>
            </a:ext>
          </a:extLst>
        </xdr:cNvPr>
        <xdr:cNvPicPr>
          <a:picLocks noChangeAspect="1"/>
        </xdr:cNvPicPr>
      </xdr:nvPicPr>
      <xdr:blipFill>
        <a:blip xmlns:r="http://schemas.openxmlformats.org/officeDocument/2006/relationships" r:embed="rId3"/>
        <a:stretch>
          <a:fillRect/>
        </a:stretch>
      </xdr:blipFill>
      <xdr:spPr>
        <a:xfrm>
          <a:off x="0" y="24401929"/>
          <a:ext cx="0" cy="175546"/>
        </a:xfrm>
        <a:prstGeom prst="rect">
          <a:avLst/>
        </a:prstGeom>
      </xdr:spPr>
    </xdr:pic>
    <xdr:clientData/>
  </xdr:twoCellAnchor>
  <xdr:twoCellAnchor>
    <xdr:from>
      <xdr:col>0</xdr:col>
      <xdr:colOff>0</xdr:colOff>
      <xdr:row>99</xdr:row>
      <xdr:rowOff>14380</xdr:rowOff>
    </xdr:from>
    <xdr:to>
      <xdr:col>0</xdr:col>
      <xdr:colOff>0</xdr:colOff>
      <xdr:row>99</xdr:row>
      <xdr:rowOff>958849</xdr:rowOff>
    </xdr:to>
    <xdr:pic>
      <xdr:nvPicPr>
        <xdr:cNvPr id="18" name="Imagen 55">
          <a:extLst>
            <a:ext uri="{FF2B5EF4-FFF2-40B4-BE49-F238E27FC236}">
              <a16:creationId xmlns:a16="http://schemas.microsoft.com/office/drawing/2014/main" id="{F9E816A1-92D8-410F-B89C-5B5D2D3408F0}"/>
            </a:ext>
          </a:extLst>
        </xdr:cNvPr>
        <xdr:cNvPicPr>
          <a:picLocks noChangeAspect="1"/>
        </xdr:cNvPicPr>
      </xdr:nvPicPr>
      <xdr:blipFill>
        <a:blip xmlns:r="http://schemas.openxmlformats.org/officeDocument/2006/relationships" r:embed="rId14"/>
        <a:stretch>
          <a:fillRect/>
        </a:stretch>
      </xdr:blipFill>
      <xdr:spPr>
        <a:xfrm>
          <a:off x="0" y="18873880"/>
          <a:ext cx="0" cy="172944"/>
        </a:xfrm>
        <a:prstGeom prst="rect">
          <a:avLst/>
        </a:prstGeom>
      </xdr:spPr>
    </xdr:pic>
    <xdr:clientData/>
  </xdr:twoCellAnchor>
  <xdr:twoCellAnchor>
    <xdr:from>
      <xdr:col>0</xdr:col>
      <xdr:colOff>0</xdr:colOff>
      <xdr:row>114</xdr:row>
      <xdr:rowOff>75267</xdr:rowOff>
    </xdr:from>
    <xdr:to>
      <xdr:col>0</xdr:col>
      <xdr:colOff>0</xdr:colOff>
      <xdr:row>114</xdr:row>
      <xdr:rowOff>1123764</xdr:rowOff>
    </xdr:to>
    <xdr:pic>
      <xdr:nvPicPr>
        <xdr:cNvPr id="19" name="Imagen 57">
          <a:extLst>
            <a:ext uri="{FF2B5EF4-FFF2-40B4-BE49-F238E27FC236}">
              <a16:creationId xmlns:a16="http://schemas.microsoft.com/office/drawing/2014/main" id="{0E41040A-332C-4E0D-8DF0-C7F79581E426}"/>
            </a:ext>
          </a:extLst>
        </xdr:cNvPr>
        <xdr:cNvPicPr>
          <a:picLocks noChangeAspect="1"/>
        </xdr:cNvPicPr>
      </xdr:nvPicPr>
      <xdr:blipFill>
        <a:blip xmlns:r="http://schemas.openxmlformats.org/officeDocument/2006/relationships" r:embed="rId15"/>
        <a:stretch>
          <a:fillRect/>
        </a:stretch>
      </xdr:blipFill>
      <xdr:spPr>
        <a:xfrm>
          <a:off x="0" y="21792267"/>
          <a:ext cx="0" cy="115047"/>
        </a:xfrm>
        <a:prstGeom prst="rect">
          <a:avLst/>
        </a:prstGeom>
      </xdr:spPr>
    </xdr:pic>
    <xdr:clientData/>
  </xdr:twoCellAnchor>
  <xdr:twoCellAnchor>
    <xdr:from>
      <xdr:col>0</xdr:col>
      <xdr:colOff>0</xdr:colOff>
      <xdr:row>15</xdr:row>
      <xdr:rowOff>199096</xdr:rowOff>
    </xdr:from>
    <xdr:to>
      <xdr:col>0</xdr:col>
      <xdr:colOff>0</xdr:colOff>
      <xdr:row>15</xdr:row>
      <xdr:rowOff>718978</xdr:rowOff>
    </xdr:to>
    <xdr:pic>
      <xdr:nvPicPr>
        <xdr:cNvPr id="20" name="Imagen 62">
          <a:extLst>
            <a:ext uri="{FF2B5EF4-FFF2-40B4-BE49-F238E27FC236}">
              <a16:creationId xmlns:a16="http://schemas.microsoft.com/office/drawing/2014/main" id="{4024C951-598D-4769-994A-7CB4BC70A421}"/>
            </a:ext>
          </a:extLst>
        </xdr:cNvPr>
        <xdr:cNvPicPr>
          <a:picLocks noChangeAspect="1"/>
        </xdr:cNvPicPr>
      </xdr:nvPicPr>
      <xdr:blipFill>
        <a:blip xmlns:r="http://schemas.openxmlformats.org/officeDocument/2006/relationships" r:embed="rId16"/>
        <a:stretch>
          <a:fillRect/>
        </a:stretch>
      </xdr:blipFill>
      <xdr:spPr>
        <a:xfrm flipH="1">
          <a:off x="0" y="3047071"/>
          <a:ext cx="0" cy="5532"/>
        </a:xfrm>
        <a:prstGeom prst="rect">
          <a:avLst/>
        </a:prstGeom>
      </xdr:spPr>
    </xdr:pic>
    <xdr:clientData/>
  </xdr:twoCellAnchor>
  <xdr:twoCellAnchor>
    <xdr:from>
      <xdr:col>0</xdr:col>
      <xdr:colOff>0</xdr:colOff>
      <xdr:row>114</xdr:row>
      <xdr:rowOff>75267</xdr:rowOff>
    </xdr:from>
    <xdr:to>
      <xdr:col>0</xdr:col>
      <xdr:colOff>0</xdr:colOff>
      <xdr:row>114</xdr:row>
      <xdr:rowOff>1123764</xdr:rowOff>
    </xdr:to>
    <xdr:pic>
      <xdr:nvPicPr>
        <xdr:cNvPr id="21" name="Imagen 67">
          <a:extLst>
            <a:ext uri="{FF2B5EF4-FFF2-40B4-BE49-F238E27FC236}">
              <a16:creationId xmlns:a16="http://schemas.microsoft.com/office/drawing/2014/main" id="{674239BC-17C0-4118-A1A7-54A7EF8337A0}"/>
            </a:ext>
          </a:extLst>
        </xdr:cNvPr>
        <xdr:cNvPicPr>
          <a:picLocks noChangeAspect="1"/>
        </xdr:cNvPicPr>
      </xdr:nvPicPr>
      <xdr:blipFill>
        <a:blip xmlns:r="http://schemas.openxmlformats.org/officeDocument/2006/relationships" r:embed="rId15"/>
        <a:stretch>
          <a:fillRect/>
        </a:stretch>
      </xdr:blipFill>
      <xdr:spPr>
        <a:xfrm>
          <a:off x="0" y="21792267"/>
          <a:ext cx="0" cy="115047"/>
        </a:xfrm>
        <a:prstGeom prst="rect">
          <a:avLst/>
        </a:prstGeom>
      </xdr:spPr>
    </xdr:pic>
    <xdr:clientData/>
  </xdr:twoCellAnchor>
  <xdr:twoCellAnchor>
    <xdr:from>
      <xdr:col>0</xdr:col>
      <xdr:colOff>0</xdr:colOff>
      <xdr:row>64</xdr:row>
      <xdr:rowOff>317500</xdr:rowOff>
    </xdr:from>
    <xdr:to>
      <xdr:col>0</xdr:col>
      <xdr:colOff>9525</xdr:colOff>
      <xdr:row>64</xdr:row>
      <xdr:rowOff>774700</xdr:rowOff>
    </xdr:to>
    <xdr:pic>
      <xdr:nvPicPr>
        <xdr:cNvPr id="22" name="Imagen 29" descr="立体图">
          <a:extLst>
            <a:ext uri="{FF2B5EF4-FFF2-40B4-BE49-F238E27FC236}">
              <a16:creationId xmlns:a16="http://schemas.microsoft.com/office/drawing/2014/main" id="{806499E5-1FA5-4348-A7CA-192434EAB06F}"/>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0" y="12385675"/>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101</xdr:row>
      <xdr:rowOff>159873</xdr:rowOff>
    </xdr:from>
    <xdr:to>
      <xdr:col>0</xdr:col>
      <xdr:colOff>0</xdr:colOff>
      <xdr:row>101</xdr:row>
      <xdr:rowOff>1288143</xdr:rowOff>
    </xdr:to>
    <xdr:pic>
      <xdr:nvPicPr>
        <xdr:cNvPr id="23" name="图片 4">
          <a:extLst>
            <a:ext uri="{FF2B5EF4-FFF2-40B4-BE49-F238E27FC236}">
              <a16:creationId xmlns:a16="http://schemas.microsoft.com/office/drawing/2014/main" id="{C96E7CEB-0A0D-4BCE-9E1B-1128836B9D56}"/>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0" y="19400373"/>
          <a:ext cx="0" cy="32895"/>
        </a:xfrm>
        <a:prstGeom prst="rect">
          <a:avLst/>
        </a:prstGeom>
      </xdr:spPr>
    </xdr:pic>
    <xdr:clientData/>
  </xdr:twoCellAnchor>
  <xdr:twoCellAnchor>
    <xdr:from>
      <xdr:col>0</xdr:col>
      <xdr:colOff>0</xdr:colOff>
      <xdr:row>159</xdr:row>
      <xdr:rowOff>127001</xdr:rowOff>
    </xdr:from>
    <xdr:to>
      <xdr:col>0</xdr:col>
      <xdr:colOff>0</xdr:colOff>
      <xdr:row>159</xdr:row>
      <xdr:rowOff>1068295</xdr:rowOff>
    </xdr:to>
    <xdr:pic>
      <xdr:nvPicPr>
        <xdr:cNvPr id="24" name="Imagen 45">
          <a:extLst>
            <a:ext uri="{FF2B5EF4-FFF2-40B4-BE49-F238E27FC236}">
              <a16:creationId xmlns:a16="http://schemas.microsoft.com/office/drawing/2014/main" id="{0D24E540-08EF-45DF-B73F-7F23434C0B3A}"/>
            </a:ext>
          </a:extLst>
        </xdr:cNvPr>
        <xdr:cNvPicPr>
          <a:picLocks noChangeAspect="1"/>
        </xdr:cNvPicPr>
      </xdr:nvPicPr>
      <xdr:blipFill>
        <a:blip xmlns:r="http://schemas.openxmlformats.org/officeDocument/2006/relationships" r:embed="rId18"/>
        <a:stretch>
          <a:fillRect/>
        </a:stretch>
      </xdr:blipFill>
      <xdr:spPr>
        <a:xfrm>
          <a:off x="0" y="30416501"/>
          <a:ext cx="0" cy="64994"/>
        </a:xfrm>
        <a:prstGeom prst="rect">
          <a:avLst/>
        </a:prstGeom>
      </xdr:spPr>
    </xdr:pic>
    <xdr:clientData/>
  </xdr:twoCellAnchor>
  <xdr:twoCellAnchor>
    <xdr:from>
      <xdr:col>0</xdr:col>
      <xdr:colOff>0</xdr:colOff>
      <xdr:row>81</xdr:row>
      <xdr:rowOff>256116</xdr:rowOff>
    </xdr:from>
    <xdr:to>
      <xdr:col>0</xdr:col>
      <xdr:colOff>0</xdr:colOff>
      <xdr:row>81</xdr:row>
      <xdr:rowOff>1083733</xdr:rowOff>
    </xdr:to>
    <xdr:pic>
      <xdr:nvPicPr>
        <xdr:cNvPr id="25" name="图片 2">
          <a:extLst>
            <a:ext uri="{FF2B5EF4-FFF2-40B4-BE49-F238E27FC236}">
              <a16:creationId xmlns:a16="http://schemas.microsoft.com/office/drawing/2014/main" id="{44F1434F-FAFE-40E8-8471-404BDD37F8F6}"/>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0" y="15619941"/>
          <a:ext cx="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111</xdr:row>
      <xdr:rowOff>112940</xdr:rowOff>
    </xdr:from>
    <xdr:to>
      <xdr:col>0</xdr:col>
      <xdr:colOff>0</xdr:colOff>
      <xdr:row>111</xdr:row>
      <xdr:rowOff>743816</xdr:rowOff>
    </xdr:to>
    <xdr:pic>
      <xdr:nvPicPr>
        <xdr:cNvPr id="26" name="图片 29">
          <a:extLst>
            <a:ext uri="{FF2B5EF4-FFF2-40B4-BE49-F238E27FC236}">
              <a16:creationId xmlns:a16="http://schemas.microsoft.com/office/drawing/2014/main" id="{8E7E223D-14E8-45A6-BEB7-9C1F37063FEC}"/>
            </a:ext>
          </a:extLst>
        </xdr:cNvPr>
        <xdr:cNvPicPr>
          <a:picLocks noChangeAspect="1"/>
        </xdr:cNvPicPr>
      </xdr:nvPicPr>
      <xdr:blipFill>
        <a:blip xmlns:r="http://schemas.openxmlformats.org/officeDocument/2006/relationships" r:embed="rId20"/>
        <a:stretch>
          <a:fillRect/>
        </a:stretch>
      </xdr:blipFill>
      <xdr:spPr>
        <a:xfrm>
          <a:off x="0" y="21258440"/>
          <a:ext cx="0" cy="78426"/>
        </a:xfrm>
        <a:prstGeom prst="rect">
          <a:avLst/>
        </a:prstGeom>
      </xdr:spPr>
    </xdr:pic>
    <xdr:clientData/>
  </xdr:twoCellAnchor>
  <xdr:twoCellAnchor>
    <xdr:from>
      <xdr:col>0</xdr:col>
      <xdr:colOff>0</xdr:colOff>
      <xdr:row>111</xdr:row>
      <xdr:rowOff>112940</xdr:rowOff>
    </xdr:from>
    <xdr:to>
      <xdr:col>0</xdr:col>
      <xdr:colOff>0</xdr:colOff>
      <xdr:row>111</xdr:row>
      <xdr:rowOff>743816</xdr:rowOff>
    </xdr:to>
    <xdr:pic>
      <xdr:nvPicPr>
        <xdr:cNvPr id="27" name="图片 29">
          <a:extLst>
            <a:ext uri="{FF2B5EF4-FFF2-40B4-BE49-F238E27FC236}">
              <a16:creationId xmlns:a16="http://schemas.microsoft.com/office/drawing/2014/main" id="{693C91B9-C1D1-4E3C-853D-55EF02BE3220}"/>
            </a:ext>
          </a:extLst>
        </xdr:cNvPr>
        <xdr:cNvPicPr>
          <a:picLocks noChangeAspect="1"/>
        </xdr:cNvPicPr>
      </xdr:nvPicPr>
      <xdr:blipFill>
        <a:blip xmlns:r="http://schemas.openxmlformats.org/officeDocument/2006/relationships" r:embed="rId20"/>
        <a:stretch>
          <a:fillRect/>
        </a:stretch>
      </xdr:blipFill>
      <xdr:spPr>
        <a:xfrm>
          <a:off x="0" y="21258440"/>
          <a:ext cx="0" cy="78426"/>
        </a:xfrm>
        <a:prstGeom prst="rect">
          <a:avLst/>
        </a:prstGeom>
      </xdr:spPr>
    </xdr:pic>
    <xdr:clientData/>
  </xdr:twoCellAnchor>
  <xdr:twoCellAnchor>
    <xdr:from>
      <xdr:col>0</xdr:col>
      <xdr:colOff>0</xdr:colOff>
      <xdr:row>102</xdr:row>
      <xdr:rowOff>17929</xdr:rowOff>
    </xdr:from>
    <xdr:to>
      <xdr:col>0</xdr:col>
      <xdr:colOff>0</xdr:colOff>
      <xdr:row>102</xdr:row>
      <xdr:rowOff>1117400</xdr:rowOff>
    </xdr:to>
    <xdr:pic>
      <xdr:nvPicPr>
        <xdr:cNvPr id="28" name="Imagen 53">
          <a:extLst>
            <a:ext uri="{FF2B5EF4-FFF2-40B4-BE49-F238E27FC236}">
              <a16:creationId xmlns:a16="http://schemas.microsoft.com/office/drawing/2014/main" id="{68C30F90-E47D-4A38-9D8E-B6D1A4A266EC}"/>
            </a:ext>
          </a:extLst>
        </xdr:cNvPr>
        <xdr:cNvPicPr>
          <a:picLocks noChangeAspect="1"/>
        </xdr:cNvPicPr>
      </xdr:nvPicPr>
      <xdr:blipFill>
        <a:blip xmlns:r="http://schemas.openxmlformats.org/officeDocument/2006/relationships" r:embed="rId3"/>
        <a:stretch>
          <a:fillRect/>
        </a:stretch>
      </xdr:blipFill>
      <xdr:spPr>
        <a:xfrm>
          <a:off x="0" y="19448929"/>
          <a:ext cx="0" cy="175546"/>
        </a:xfrm>
        <a:prstGeom prst="rect">
          <a:avLst/>
        </a:prstGeom>
      </xdr:spPr>
    </xdr:pic>
    <xdr:clientData/>
  </xdr:twoCellAnchor>
  <xdr:twoCellAnchor>
    <xdr:from>
      <xdr:col>0</xdr:col>
      <xdr:colOff>0</xdr:colOff>
      <xdr:row>34</xdr:row>
      <xdr:rowOff>0</xdr:rowOff>
    </xdr:from>
    <xdr:to>
      <xdr:col>0</xdr:col>
      <xdr:colOff>0</xdr:colOff>
      <xdr:row>34</xdr:row>
      <xdr:rowOff>0</xdr:rowOff>
    </xdr:to>
    <xdr:pic>
      <xdr:nvPicPr>
        <xdr:cNvPr id="29" name="Imagen 51">
          <a:extLst>
            <a:ext uri="{FF2B5EF4-FFF2-40B4-BE49-F238E27FC236}">
              <a16:creationId xmlns:a16="http://schemas.microsoft.com/office/drawing/2014/main" id="{5A727C6C-DE8A-4F9F-ABC1-094B6BC05167}"/>
            </a:ext>
          </a:extLst>
        </xdr:cNvPr>
        <xdr:cNvPicPr>
          <a:picLocks noChangeAspect="1"/>
        </xdr:cNvPicPr>
      </xdr:nvPicPr>
      <xdr:blipFill>
        <a:blip xmlns:r="http://schemas.openxmlformats.org/officeDocument/2006/relationships" r:embed="rId3"/>
        <a:stretch>
          <a:fillRect/>
        </a:stretch>
      </xdr:blipFill>
      <xdr:spPr>
        <a:xfrm>
          <a:off x="0" y="6477000"/>
          <a:ext cx="0" cy="0"/>
        </a:xfrm>
        <a:prstGeom prst="rect">
          <a:avLst/>
        </a:prstGeom>
      </xdr:spPr>
    </xdr:pic>
    <xdr:clientData/>
  </xdr:twoCellAnchor>
  <xdr:twoCellAnchor>
    <xdr:from>
      <xdr:col>0</xdr:col>
      <xdr:colOff>0</xdr:colOff>
      <xdr:row>53</xdr:row>
      <xdr:rowOff>17146</xdr:rowOff>
    </xdr:from>
    <xdr:to>
      <xdr:col>0</xdr:col>
      <xdr:colOff>0</xdr:colOff>
      <xdr:row>53</xdr:row>
      <xdr:rowOff>1179288</xdr:rowOff>
    </xdr:to>
    <xdr:pic>
      <xdr:nvPicPr>
        <xdr:cNvPr id="30" name="Imagen 27">
          <a:extLst>
            <a:ext uri="{FF2B5EF4-FFF2-40B4-BE49-F238E27FC236}">
              <a16:creationId xmlns:a16="http://schemas.microsoft.com/office/drawing/2014/main" id="{27DE34C2-26E7-4C80-92BB-8B37735E3291}"/>
            </a:ext>
          </a:extLst>
        </xdr:cNvPr>
        <xdr:cNvPicPr>
          <a:picLocks noChangeAspect="1"/>
        </xdr:cNvPicPr>
      </xdr:nvPicPr>
      <xdr:blipFill>
        <a:blip xmlns:r="http://schemas.openxmlformats.org/officeDocument/2006/relationships" r:embed="rId21"/>
        <a:stretch>
          <a:fillRect/>
        </a:stretch>
      </xdr:blipFill>
      <xdr:spPr>
        <a:xfrm>
          <a:off x="0" y="10113646"/>
          <a:ext cx="0" cy="1715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10C16-9FCE-4D02-84BD-DF37124B851A}" name="Tabla14" displayName="Tabla14" ref="A2:T213" totalsRowShown="0" tableBorderDxfId="21">
  <autoFilter ref="A2:T213" xr:uid="{F3B10F0C-D349-48AA-AFBF-4DAF9BE04BC3}"/>
  <sortState xmlns:xlrd2="http://schemas.microsoft.com/office/spreadsheetml/2017/richdata2" ref="A3:T213">
    <sortCondition sortBy="fontColor" ref="A2:A213" dxfId="20"/>
  </sortState>
  <tableColumns count="20">
    <tableColumn id="3" xr3:uid="{CE1E6789-4919-4912-BB99-ED3C4E3A3F12}" name="REFERENCIA" dataDxfId="19"/>
    <tableColumn id="4" xr3:uid="{C0EBB92F-8136-4903-BDCA-8C188EE53BF2}" name="DESCRIPCIÓN " dataDxfId="18"/>
    <tableColumn id="2" xr3:uid="{6F4434ED-EC9B-448D-97FA-88901B94C219}" name="PRECIO  INSTALADOR_x000a_( CON  IVA)" dataDxfId="17">
      <calculatedColumnFormula>+Tabla14[[#This Row],[PRECIO SUGERIDO INSTALADOR2]]</calculatedColumnFormula>
    </tableColumn>
    <tableColumn id="20" xr3:uid="{A707D6A1-52CC-49ED-BD53-53496FDC0F76}" name="PRECIO TIENDA ( CON  IVA)" dataDxfId="16">
      <calculatedColumnFormula>+Tabla14[[#This Row],[PRECIO  INSTALADOR
( CON  IVA)]]-Tabla14[[#This Row],[Columna1]]</calculatedColumnFormula>
    </tableColumn>
    <tableColumn id="5" xr3:uid="{F9A79AAD-E936-4501-BB09-66E29277B7D9}" name="PRECI DPP ORO ( CON  IVA)" dataDxfId="15">
      <calculatedColumnFormula>+Tabla14[[#This Row],[DPP ORO2]]</calculatedColumnFormula>
    </tableColumn>
    <tableColumn id="18" xr3:uid="{C7153275-2D8B-4B0B-85AD-94F6642B7F39}" name="PRECIO DPP PLATINO ( CON  IVA)" dataDxfId="14">
      <calculatedColumnFormula>+Tabla14[[#This Row],[Columna4]]</calculatedColumnFormula>
    </tableColumn>
    <tableColumn id="19" xr3:uid="{870D907C-502D-4152-A1AE-DCDAB5FF5D11}" name="PRECIO CLIENTE FINAL ( CON  IVA)" dataDxfId="13">
      <calculatedColumnFormula>+Tabla14[[#This Row],[PRECIO  INSTALADOR
( CON  IVA)]]/0.7</calculatedColumnFormula>
    </tableColumn>
    <tableColumn id="21" xr3:uid="{D755471D-D6DF-4B2B-AD06-836F2AD5235C}" name="Columna1" dataDxfId="12">
      <calculatedColumnFormula>+Tabla14[[#This Row],[PRECIO SUGERIDO INSTALADOR2]]*5%</calculatedColumnFormula>
    </tableColumn>
    <tableColumn id="6" xr3:uid="{4B679599-156B-4C9D-9806-CA6B4EC68C12}" name="PRECIO SUGERIDO INSTALADOR_x000a_( CON  IVA)" dataDxfId="11" dataCellStyle="Moneda">
      <calculatedColumnFormula>+Q3</calculatedColumnFormula>
    </tableColumn>
    <tableColumn id="7" xr3:uid="{E8C6B7DA-CFB1-4D08-882C-6FEAFFD07ACC}" name=" ORO" dataDxfId="10" dataCellStyle="Moneda">
      <calculatedColumnFormula>+O3</calculatedColumnFormula>
    </tableColumn>
    <tableColumn id="8" xr3:uid="{8A14109B-E673-4F88-BEB2-05849E8DDDFA}" name="PLATINO" dataDxfId="9" dataCellStyle="Moneda">
      <calculatedColumnFormula>+L3</calculatedColumnFormula>
    </tableColumn>
    <tableColumn id="9" xr3:uid="{403921CC-7A8D-43A1-9CE1-D4257F8933D3}" name="Columna3" dataDxfId="8" dataCellStyle="Moneda">
      <calculatedColumnFormula>+M3/$P$1</calculatedColumnFormula>
    </tableColumn>
    <tableColumn id="10" xr3:uid="{9AF30185-2624-4336-BD33-054D87FCD154}" name="Columna4" dataDxfId="7" dataCellStyle="Moneda">
      <calculatedColumnFormula>+P3-N3</calculatedColumnFormula>
    </tableColumn>
    <tableColumn id="11" xr3:uid="{3A4AE68A-0419-40D3-B622-38544AFC3E4F}" name="DPP PLATINO2" dataDxfId="6" dataCellStyle="Moneda">
      <calculatedColumnFormula>+P3*1%</calculatedColumnFormula>
    </tableColumn>
    <tableColumn id="12" xr3:uid="{7D71F28B-0532-4A74-A641-5FB86CB9FCB6}" name="Columna6" dataDxfId="5" dataCellStyle="Moneda">
      <calculatedColumnFormula>+P3/$P$1</calculatedColumnFormula>
    </tableColumn>
    <tableColumn id="13" xr3:uid="{39A406E8-4204-48DA-91D4-1C1BF0E77F4C}" name="DPP ORO2" dataDxfId="4">
      <calculatedColumnFormula>Tabla14[[#This Row],[ORO SIN IVA]]*1.19</calculatedColumnFormula>
    </tableColumn>
    <tableColumn id="14" xr3:uid="{215E067F-B807-4E0E-9C25-C5C45B6B6C1B}" name="Columna8" dataDxfId="3" dataCellStyle="Moneda">
      <calculatedColumnFormula>+R3/$P$1</calculatedColumnFormula>
    </tableColumn>
    <tableColumn id="15" xr3:uid="{79DE740F-8C1E-4B18-848F-E0F8AC26ECFD}" name="PRECIO SUGERIDO INSTALADOR2" dataDxfId="2">
      <calculatedColumnFormula>Tabla14[[#This Row],[INSTALLER SIN IVA]]*1.19</calculatedColumnFormula>
    </tableColumn>
    <tableColumn id="16" xr3:uid="{D5FB5811-8833-4749-A158-A1083FCCB18F}" name="ORO SIN IVA" dataDxfId="1" dataCellStyle="Moneda"/>
    <tableColumn id="17" xr3:uid="{1FD57E87-150A-4B4E-8904-FDEA2A339495}" name="INSTALLER SIN IVA" dataDxfId="0" dataCellStyle="Moneda"/>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7F51-BBC5-4EBA-9974-8B24ADE61697}">
  <sheetPr>
    <pageSetUpPr fitToPage="1"/>
  </sheetPr>
  <dimension ref="A1:CF584"/>
  <sheetViews>
    <sheetView showGridLines="0" tabSelected="1" view="pageBreakPreview" zoomScale="55" zoomScaleNormal="85" zoomScaleSheetLayoutView="55" workbookViewId="0">
      <pane xSplit="1" ySplit="2" topLeftCell="G3" activePane="bottomRight" state="frozen"/>
      <selection pane="topRight"/>
      <selection pane="bottomLeft"/>
      <selection pane="bottomRight" activeCell="Q7" sqref="Q7"/>
    </sheetView>
  </sheetViews>
  <sheetFormatPr baseColWidth="10" defaultColWidth="10.5703125" defaultRowHeight="13.5" x14ac:dyDescent="0.25"/>
  <cols>
    <col min="1" max="1" width="35.42578125" style="9" customWidth="1"/>
    <col min="2" max="2" width="54.5703125" style="8" customWidth="1"/>
    <col min="3" max="3" width="17.42578125" style="5" customWidth="1"/>
    <col min="4" max="4" width="19.5703125" style="5" customWidth="1"/>
    <col min="5" max="5" width="18.5703125" style="5" customWidth="1"/>
    <col min="6" max="6" width="19" style="7" customWidth="1"/>
    <col min="7" max="8" width="20.85546875" style="7" customWidth="1"/>
    <col min="9" max="9" width="20.85546875" style="5" customWidth="1"/>
    <col min="10" max="14" width="20.85546875" style="6" customWidth="1"/>
    <col min="15" max="19" width="20.85546875" style="5" customWidth="1"/>
    <col min="20" max="20" width="20.85546875" style="4" customWidth="1"/>
    <col min="21" max="21" width="20.85546875" style="1" customWidth="1"/>
    <col min="22" max="22" width="20.85546875" style="3" customWidth="1"/>
    <col min="23" max="25" width="20.85546875" style="2" customWidth="1"/>
    <col min="26" max="84" width="10.5703125" style="2"/>
    <col min="85" max="16384" width="10.5703125" style="1"/>
  </cols>
  <sheetData>
    <row r="1" spans="1:20" ht="13.35" customHeight="1" x14ac:dyDescent="0.25">
      <c r="A1" s="77"/>
      <c r="B1" s="77"/>
      <c r="C1" s="5" t="s">
        <v>426</v>
      </c>
      <c r="I1" s="76"/>
      <c r="J1" s="75"/>
      <c r="K1" s="75"/>
      <c r="L1" s="75"/>
      <c r="M1" s="75"/>
      <c r="N1" s="75"/>
      <c r="O1" s="4"/>
      <c r="P1" s="52">
        <v>4850</v>
      </c>
      <c r="Q1" s="57"/>
    </row>
    <row r="2" spans="1:20" ht="81" customHeight="1" x14ac:dyDescent="0.25">
      <c r="A2" s="74" t="s">
        <v>425</v>
      </c>
      <c r="B2" s="74" t="s">
        <v>424</v>
      </c>
      <c r="C2" s="73" t="s">
        <v>423</v>
      </c>
      <c r="D2" s="73" t="s">
        <v>422</v>
      </c>
      <c r="E2" s="73" t="s">
        <v>421</v>
      </c>
      <c r="F2" s="73" t="s">
        <v>420</v>
      </c>
      <c r="G2" s="73" t="s">
        <v>419</v>
      </c>
      <c r="H2" s="72" t="s">
        <v>418</v>
      </c>
      <c r="I2" s="71" t="s">
        <v>417</v>
      </c>
      <c r="J2" s="70" t="s">
        <v>416</v>
      </c>
      <c r="K2" s="68" t="s">
        <v>415</v>
      </c>
      <c r="L2" s="69" t="s">
        <v>414</v>
      </c>
      <c r="M2" s="69" t="s">
        <v>413</v>
      </c>
      <c r="N2" s="68" t="s">
        <v>412</v>
      </c>
      <c r="O2" s="4" t="s">
        <v>411</v>
      </c>
      <c r="P2" s="67" t="s">
        <v>410</v>
      </c>
      <c r="Q2" s="66" t="s">
        <v>409</v>
      </c>
      <c r="R2" s="65" t="s">
        <v>408</v>
      </c>
      <c r="S2" s="64" t="s">
        <v>407</v>
      </c>
      <c r="T2" s="63" t="s">
        <v>406</v>
      </c>
    </row>
    <row r="3" spans="1:20" ht="27" x14ac:dyDescent="0.25">
      <c r="A3" s="47" t="s">
        <v>405</v>
      </c>
      <c r="B3" s="46" t="s">
        <v>404</v>
      </c>
      <c r="C3" s="36">
        <f>+Tabla14[[#This Row],[PRECIO SUGERIDO INSTALADOR2]]</f>
        <v>119911.54</v>
      </c>
      <c r="D3" s="36">
        <f>+Tabla14[[#This Row],[PRECIO  INSTALADOR
( CON  IVA)]]-Tabla14[[#This Row],[Columna1]]</f>
        <v>113915.96299999999</v>
      </c>
      <c r="E3" s="36">
        <f>+Tabla14[[#This Row],[DPP ORO2]]</f>
        <v>102259.08</v>
      </c>
      <c r="F3" s="36">
        <f>+Tabla14[[#This Row],[Columna4]]</f>
        <v>101236.4892</v>
      </c>
      <c r="G3" s="36">
        <f>+Tabla14[[#This Row],[PRECIO  INSTALADOR
( CON  IVA)]]/0.7</f>
        <v>171302.2</v>
      </c>
      <c r="H3" s="62">
        <f>+Tabla14[[#This Row],[PRECIO SUGERIDO INSTALADOR2]]*5%</f>
        <v>5995.5770000000002</v>
      </c>
      <c r="I3" s="29">
        <f t="shared" ref="I3:I66" si="0">+Q3</f>
        <v>24.724028865979381</v>
      </c>
      <c r="J3" s="29">
        <f t="shared" ref="J3:J66" si="1">+O3</f>
        <v>21.084346391752579</v>
      </c>
      <c r="K3" s="34">
        <f t="shared" ref="K3:K66" si="2">+L3</f>
        <v>20.873502927835052</v>
      </c>
      <c r="L3" s="34">
        <f t="shared" ref="L3:L66" si="3">+M3/$P$1</f>
        <v>20.873502927835052</v>
      </c>
      <c r="M3" s="34">
        <f t="shared" ref="M3:M66" si="4">+P3-N3</f>
        <v>101236.4892</v>
      </c>
      <c r="N3" s="33">
        <f t="shared" ref="N3:N66" si="5">+P3*1%</f>
        <v>1022.5908000000001</v>
      </c>
      <c r="O3" s="4">
        <f t="shared" ref="O3:O66" si="6">+P3/$P$1</f>
        <v>21.084346391752579</v>
      </c>
      <c r="P3" s="32">
        <f>Tabla14[[#This Row],[ORO SIN IVA]]*1.19</f>
        <v>102259.08</v>
      </c>
      <c r="Q3" s="31">
        <f t="shared" ref="Q3:Q66" si="7">+R3/$P$1</f>
        <v>24.724028865979381</v>
      </c>
      <c r="R3" s="45">
        <f>Tabla14[[#This Row],[INSTALLER SIN IVA]]*1.19</f>
        <v>119911.54</v>
      </c>
      <c r="S3" s="39">
        <v>85932</v>
      </c>
      <c r="T3" s="4">
        <v>100766</v>
      </c>
    </row>
    <row r="4" spans="1:20" ht="27" x14ac:dyDescent="0.25">
      <c r="A4" s="47" t="s">
        <v>403</v>
      </c>
      <c r="B4" s="46" t="s">
        <v>402</v>
      </c>
      <c r="C4" s="36">
        <f>+Tabla14[[#This Row],[PRECIO SUGERIDO INSTALADOR2]]</f>
        <v>128487.87</v>
      </c>
      <c r="D4" s="36">
        <f>+Tabla14[[#This Row],[PRECIO  INSTALADOR
( CON  IVA)]]-Tabla14[[#This Row],[Columna1]]</f>
        <v>122063.47649999999</v>
      </c>
      <c r="E4" s="36">
        <f>+Tabla14[[#This Row],[DPP ORO2]]</f>
        <v>109508.56</v>
      </c>
      <c r="F4" s="36">
        <f>+Tabla14[[#This Row],[Columna4]]</f>
        <v>108413.47439999999</v>
      </c>
      <c r="G4" s="36">
        <f>+Tabla14[[#This Row],[PRECIO  INSTALADOR
( CON  IVA)]]/0.7</f>
        <v>183554.1</v>
      </c>
      <c r="H4" s="62">
        <f>+Tabla14[[#This Row],[PRECIO SUGERIDO INSTALADOR2]]*5%</f>
        <v>6424.3935000000001</v>
      </c>
      <c r="I4" s="29">
        <f t="shared" si="0"/>
        <v>26.492344329896905</v>
      </c>
      <c r="J4" s="29">
        <f t="shared" si="1"/>
        <v>22.579084536082473</v>
      </c>
      <c r="K4" s="34">
        <f t="shared" si="2"/>
        <v>22.35329369072165</v>
      </c>
      <c r="L4" s="34">
        <f t="shared" si="3"/>
        <v>22.35329369072165</v>
      </c>
      <c r="M4" s="34">
        <f t="shared" si="4"/>
        <v>108413.47439999999</v>
      </c>
      <c r="N4" s="33">
        <f t="shared" si="5"/>
        <v>1095.0856000000001</v>
      </c>
      <c r="O4" s="4">
        <f t="shared" si="6"/>
        <v>22.579084536082473</v>
      </c>
      <c r="P4" s="32">
        <f>Tabla14[[#This Row],[ORO SIN IVA]]*1.19</f>
        <v>109508.56</v>
      </c>
      <c r="Q4" s="31">
        <f t="shared" si="7"/>
        <v>26.492344329896905</v>
      </c>
      <c r="R4" s="45">
        <f>Tabla14[[#This Row],[INSTALLER SIN IVA]]*1.19</f>
        <v>128487.87</v>
      </c>
      <c r="S4" s="39">
        <v>92024</v>
      </c>
      <c r="T4" s="4">
        <v>107973</v>
      </c>
    </row>
    <row r="5" spans="1:20" ht="40.5" x14ac:dyDescent="0.25">
      <c r="A5" s="47" t="s">
        <v>401</v>
      </c>
      <c r="B5" s="48" t="s">
        <v>400</v>
      </c>
      <c r="C5" s="36">
        <f>+Tabla14[[#This Row],[PRECIO SUGERIDO INSTALADOR2]]</f>
        <v>117366.12999999999</v>
      </c>
      <c r="D5" s="36">
        <f>+Tabla14[[#This Row],[PRECIO  INSTALADOR
( CON  IVA)]]-Tabla14[[#This Row],[Columna1]]</f>
        <v>111497.82349999998</v>
      </c>
      <c r="E5" s="36">
        <f>+Tabla14[[#This Row],[DPP ORO2]]</f>
        <v>99990.94</v>
      </c>
      <c r="F5" s="36">
        <f>+Tabla14[[#This Row],[Columna4]]</f>
        <v>98991.030599999998</v>
      </c>
      <c r="G5" s="36">
        <f>+Tabla14[[#This Row],[PRECIO  INSTALADOR
( CON  IVA)]]/0.7</f>
        <v>167665.9</v>
      </c>
      <c r="H5" s="35">
        <f>+Tabla14[[#This Row],[PRECIO SUGERIDO INSTALADOR2]]*5%</f>
        <v>5868.3064999999997</v>
      </c>
      <c r="I5" s="29">
        <f t="shared" si="0"/>
        <v>24.199202061855669</v>
      </c>
      <c r="J5" s="29">
        <f t="shared" si="1"/>
        <v>20.616688659793816</v>
      </c>
      <c r="K5" s="34">
        <f t="shared" si="2"/>
        <v>20.410521773195875</v>
      </c>
      <c r="L5" s="34">
        <f t="shared" si="3"/>
        <v>20.410521773195875</v>
      </c>
      <c r="M5" s="34">
        <f t="shared" si="4"/>
        <v>98991.030599999998</v>
      </c>
      <c r="N5" s="33">
        <f t="shared" si="5"/>
        <v>999.90940000000001</v>
      </c>
      <c r="O5" s="4">
        <f t="shared" si="6"/>
        <v>20.616688659793816</v>
      </c>
      <c r="P5" s="32">
        <f>Tabla14[[#This Row],[ORO SIN IVA]]*1.19</f>
        <v>99990.94</v>
      </c>
      <c r="Q5" s="31">
        <f t="shared" si="7"/>
        <v>24.199202061855669</v>
      </c>
      <c r="R5" s="45">
        <f>Tabla14[[#This Row],[INSTALLER SIN IVA]]*1.19</f>
        <v>117366.12999999999</v>
      </c>
      <c r="S5" s="39">
        <v>84026</v>
      </c>
      <c r="T5" s="4">
        <v>98627</v>
      </c>
    </row>
    <row r="6" spans="1:20" ht="27" x14ac:dyDescent="0.25">
      <c r="A6" s="47" t="s">
        <v>399</v>
      </c>
      <c r="B6" s="46" t="s">
        <v>398</v>
      </c>
      <c r="C6" s="36">
        <f>+Tabla14[[#This Row],[PRECIO SUGERIDO INSTALADOR2]]</f>
        <v>121018.23999999999</v>
      </c>
      <c r="D6" s="36">
        <f>+Tabla14[[#This Row],[PRECIO  INSTALADOR
( CON  IVA)]]-Tabla14[[#This Row],[Columna1]]</f>
        <v>114967.32799999999</v>
      </c>
      <c r="E6" s="36">
        <f>+Tabla14[[#This Row],[DPP ORO2]]</f>
        <v>103144.44</v>
      </c>
      <c r="F6" s="36">
        <f>+Tabla14[[#This Row],[Columna4]]</f>
        <v>102112.99560000001</v>
      </c>
      <c r="G6" s="36">
        <f>+Tabla14[[#This Row],[PRECIO  INSTALADOR
( CON  IVA)]]/0.7</f>
        <v>172883.20000000001</v>
      </c>
      <c r="H6" s="35">
        <f>+Tabla14[[#This Row],[PRECIO SUGERIDO INSTALADOR2]]*5%</f>
        <v>6050.9120000000003</v>
      </c>
      <c r="I6" s="29">
        <f t="shared" si="0"/>
        <v>24.952214432989688</v>
      </c>
      <c r="J6" s="29">
        <f t="shared" si="1"/>
        <v>21.266894845360824</v>
      </c>
      <c r="K6" s="34">
        <f t="shared" si="2"/>
        <v>21.054225896907219</v>
      </c>
      <c r="L6" s="34">
        <f t="shared" si="3"/>
        <v>21.054225896907219</v>
      </c>
      <c r="M6" s="34">
        <f t="shared" si="4"/>
        <v>102112.99560000001</v>
      </c>
      <c r="N6" s="33">
        <f t="shared" si="5"/>
        <v>1031.4444000000001</v>
      </c>
      <c r="O6" s="4">
        <f t="shared" si="6"/>
        <v>21.266894845360824</v>
      </c>
      <c r="P6" s="32">
        <f>Tabla14[[#This Row],[ORO SIN IVA]]*1.19</f>
        <v>103144.44</v>
      </c>
      <c r="Q6" s="31">
        <f t="shared" si="7"/>
        <v>24.952214432989688</v>
      </c>
      <c r="R6" s="45">
        <f>Tabla14[[#This Row],[INSTALLER SIN IVA]]*1.19</f>
        <v>121018.23999999999</v>
      </c>
      <c r="S6" s="39">
        <v>86676</v>
      </c>
      <c r="T6" s="4">
        <v>101696</v>
      </c>
    </row>
    <row r="7" spans="1:20" ht="27" x14ac:dyDescent="0.25">
      <c r="A7" s="47" t="s">
        <v>397</v>
      </c>
      <c r="B7" s="46" t="s">
        <v>396</v>
      </c>
      <c r="C7" s="36">
        <f>+Tabla14[[#This Row],[PRECIO SUGERIDO INSTALADOR2]]</f>
        <v>203411.46</v>
      </c>
      <c r="D7" s="36">
        <f>+Tabla14[[#This Row],[PRECIO  INSTALADOR
( CON  IVA)]]-Tabla14[[#This Row],[Columna1]]</f>
        <v>193240.88699999999</v>
      </c>
      <c r="E7" s="36">
        <f>+Tabla14[[#This Row],[DPP ORO2]]</f>
        <v>173365.15</v>
      </c>
      <c r="F7" s="36">
        <f>+Tabla14[[#This Row],[Columna4]]</f>
        <v>171631.49849999999</v>
      </c>
      <c r="G7" s="36">
        <f>+Tabla14[[#This Row],[PRECIO  INSTALADOR
( CON  IVA)]]/0.7</f>
        <v>290587.8</v>
      </c>
      <c r="H7" s="35">
        <f>+Tabla14[[#This Row],[PRECIO SUGERIDO INSTALADOR2]]*5%</f>
        <v>10170.573</v>
      </c>
      <c r="I7" s="29">
        <f t="shared" si="0"/>
        <v>41.940507216494844</v>
      </c>
      <c r="J7" s="29">
        <f t="shared" si="1"/>
        <v>35.745391752577319</v>
      </c>
      <c r="K7" s="34">
        <f t="shared" si="2"/>
        <v>35.387937835051545</v>
      </c>
      <c r="L7" s="34">
        <f t="shared" si="3"/>
        <v>35.387937835051545</v>
      </c>
      <c r="M7" s="34">
        <f t="shared" si="4"/>
        <v>171631.49849999999</v>
      </c>
      <c r="N7" s="33">
        <f t="shared" si="5"/>
        <v>1733.6514999999999</v>
      </c>
      <c r="O7" s="4">
        <f t="shared" si="6"/>
        <v>35.745391752577319</v>
      </c>
      <c r="P7" s="32">
        <f>Tabla14[[#This Row],[ORO SIN IVA]]*1.19</f>
        <v>173365.15</v>
      </c>
      <c r="Q7" s="31">
        <f t="shared" si="7"/>
        <v>41.940507216494844</v>
      </c>
      <c r="R7" s="45">
        <f>Tabla14[[#This Row],[INSTALLER SIN IVA]]*1.19</f>
        <v>203411.46</v>
      </c>
      <c r="S7" s="39">
        <v>145685</v>
      </c>
      <c r="T7" s="4">
        <v>170934</v>
      </c>
    </row>
    <row r="8" spans="1:20" ht="27" x14ac:dyDescent="0.25">
      <c r="A8" s="47" t="s">
        <v>395</v>
      </c>
      <c r="B8" s="46" t="s">
        <v>394</v>
      </c>
      <c r="C8" s="36">
        <f>+Tabla14[[#This Row],[PRECIO SUGERIDO INSTALADOR2]]</f>
        <v>183736</v>
      </c>
      <c r="D8" s="36">
        <f>+Tabla14[[#This Row],[PRECIO  INSTALADOR
( CON  IVA)]]-Tabla14[[#This Row],[Columna1]]</f>
        <v>174549.2</v>
      </c>
      <c r="E8" s="36">
        <f>+Tabla14[[#This Row],[DPP ORO2]]</f>
        <v>170874.47999999998</v>
      </c>
      <c r="F8" s="36">
        <f>+Tabla14[[#This Row],[Columna4]]</f>
        <v>169165.7352</v>
      </c>
      <c r="G8" s="36">
        <f>+Tabla14[[#This Row],[PRECIO  INSTALADOR
( CON  IVA)]]/0.7</f>
        <v>262480</v>
      </c>
      <c r="H8" s="35">
        <f>+Tabla14[[#This Row],[PRECIO SUGERIDO INSTALADOR2]]*5%</f>
        <v>9186.8000000000011</v>
      </c>
      <c r="I8" s="29">
        <f t="shared" si="0"/>
        <v>37.883711340206183</v>
      </c>
      <c r="J8" s="29">
        <f t="shared" si="1"/>
        <v>35.231851546391752</v>
      </c>
      <c r="K8" s="34">
        <f t="shared" si="2"/>
        <v>34.879533030927831</v>
      </c>
      <c r="L8" s="34">
        <f t="shared" si="3"/>
        <v>34.879533030927831</v>
      </c>
      <c r="M8" s="34">
        <f t="shared" si="4"/>
        <v>169165.7352</v>
      </c>
      <c r="N8" s="33">
        <f t="shared" si="5"/>
        <v>1708.7447999999999</v>
      </c>
      <c r="O8" s="4">
        <f t="shared" si="6"/>
        <v>35.231851546391752</v>
      </c>
      <c r="P8" s="32">
        <f>Tabla14[[#This Row],[ORO SIN IVA]]*1.19</f>
        <v>170874.47999999998</v>
      </c>
      <c r="Q8" s="31">
        <f t="shared" si="7"/>
        <v>37.883711340206183</v>
      </c>
      <c r="R8" s="45">
        <f>Tabla14[[#This Row],[INSTALLER SIN IVA]]*1.19</f>
        <v>183736</v>
      </c>
      <c r="S8" s="39">
        <f>Tabla14[[#This Row],[INSTALLER SIN IVA]]*0.93</f>
        <v>143592</v>
      </c>
      <c r="T8" s="61">
        <v>154400</v>
      </c>
    </row>
    <row r="9" spans="1:20" ht="27" x14ac:dyDescent="0.25">
      <c r="A9" s="47" t="s">
        <v>393</v>
      </c>
      <c r="B9" s="46" t="s">
        <v>392</v>
      </c>
      <c r="C9" s="36">
        <f>+Tabla14[[#This Row],[PRECIO SUGERIDO INSTALADOR2]]</f>
        <v>122899.62999999999</v>
      </c>
      <c r="D9" s="36">
        <f>+Tabla14[[#This Row],[PRECIO  INSTALADOR
( CON  IVA)]]-Tabla14[[#This Row],[Columna1]]</f>
        <v>116754.6485</v>
      </c>
      <c r="E9" s="36">
        <f>+Tabla14[[#This Row],[DPP ORO2]]</f>
        <v>104749.75</v>
      </c>
      <c r="F9" s="36">
        <f>+Tabla14[[#This Row],[Columna4]]</f>
        <v>103702.2525</v>
      </c>
      <c r="G9" s="36">
        <f>+Tabla14[[#This Row],[PRECIO  INSTALADOR
( CON  IVA)]]/0.7</f>
        <v>175570.9</v>
      </c>
      <c r="H9" s="35">
        <f>+Tabla14[[#This Row],[PRECIO SUGERIDO INSTALADOR2]]*5%</f>
        <v>6144.9814999999999</v>
      </c>
      <c r="I9" s="29">
        <f t="shared" si="0"/>
        <v>25.340129896907214</v>
      </c>
      <c r="J9" s="29">
        <f t="shared" si="1"/>
        <v>21.597886597938146</v>
      </c>
      <c r="K9" s="34">
        <f t="shared" si="2"/>
        <v>21.381907731958762</v>
      </c>
      <c r="L9" s="34">
        <f t="shared" si="3"/>
        <v>21.381907731958762</v>
      </c>
      <c r="M9" s="34">
        <f t="shared" si="4"/>
        <v>103702.2525</v>
      </c>
      <c r="N9" s="33">
        <f t="shared" si="5"/>
        <v>1047.4974999999999</v>
      </c>
      <c r="O9" s="4">
        <f t="shared" si="6"/>
        <v>21.597886597938146</v>
      </c>
      <c r="P9" s="32">
        <f>Tabla14[[#This Row],[ORO SIN IVA]]*1.19</f>
        <v>104749.75</v>
      </c>
      <c r="Q9" s="31">
        <f t="shared" si="7"/>
        <v>25.340129896907214</v>
      </c>
      <c r="R9" s="45">
        <f>Tabla14[[#This Row],[INSTALLER SIN IVA]]*1.19</f>
        <v>122899.62999999999</v>
      </c>
      <c r="S9" s="39">
        <v>88025</v>
      </c>
      <c r="T9" s="4">
        <v>103277</v>
      </c>
    </row>
    <row r="10" spans="1:20" ht="15" x14ac:dyDescent="0.25">
      <c r="A10" s="58" t="s">
        <v>391</v>
      </c>
      <c r="B10" s="37" t="s">
        <v>390</v>
      </c>
      <c r="C10" s="36">
        <f>+Tabla14[[#This Row],[PRECIO SUGERIDO INSTALADOR2]]</f>
        <v>95286.87</v>
      </c>
      <c r="D10" s="36">
        <f>+Tabla14[[#This Row],[PRECIO  INSTALADOR
( CON  IVA)]]-Tabla14[[#This Row],[Columna1]]</f>
        <v>90522.526499999993</v>
      </c>
      <c r="E10" s="36">
        <f>+Tabla14[[#This Row],[DPP ORO2]]</f>
        <v>81231.78</v>
      </c>
      <c r="F10" s="36">
        <f>+Tabla14[[#This Row],[Columna4]]</f>
        <v>80419.462199999994</v>
      </c>
      <c r="G10" s="36">
        <f>+Tabla14[[#This Row],[PRECIO  INSTALADOR
( CON  IVA)]]/0.7</f>
        <v>136124.1</v>
      </c>
      <c r="H10" s="35">
        <f>+Tabla14[[#This Row],[PRECIO SUGERIDO INSTALADOR2]]*5%</f>
        <v>4764.3434999999999</v>
      </c>
      <c r="I10" s="29">
        <f t="shared" si="0"/>
        <v>19.646777319587628</v>
      </c>
      <c r="J10" s="29">
        <f t="shared" si="1"/>
        <v>16.748820618556699</v>
      </c>
      <c r="K10" s="34">
        <f t="shared" si="2"/>
        <v>16.581332412371133</v>
      </c>
      <c r="L10" s="34">
        <f t="shared" si="3"/>
        <v>16.581332412371133</v>
      </c>
      <c r="M10" s="34">
        <f t="shared" si="4"/>
        <v>80419.462199999994</v>
      </c>
      <c r="N10" s="33">
        <f t="shared" si="5"/>
        <v>812.31780000000003</v>
      </c>
      <c r="O10" s="4">
        <f t="shared" si="6"/>
        <v>16.748820618556699</v>
      </c>
      <c r="P10" s="32">
        <f>Tabla14[[#This Row],[ORO SIN IVA]]*1.19</f>
        <v>81231.78</v>
      </c>
      <c r="Q10" s="31">
        <f t="shared" si="7"/>
        <v>19.646777319587628</v>
      </c>
      <c r="R10" s="45">
        <f>Tabla14[[#This Row],[INSTALLER SIN IVA]]*1.19</f>
        <v>95286.87</v>
      </c>
      <c r="S10" s="39">
        <v>68262</v>
      </c>
      <c r="T10" s="4">
        <v>80073</v>
      </c>
    </row>
    <row r="11" spans="1:20" ht="27" x14ac:dyDescent="0.25">
      <c r="A11" s="38" t="s">
        <v>389</v>
      </c>
      <c r="B11" s="51" t="s">
        <v>388</v>
      </c>
      <c r="C11" s="36">
        <f>+Tabla14[[#This Row],[PRECIO SUGERIDO INSTALADOR2]]</f>
        <v>114875.45999999999</v>
      </c>
      <c r="D11" s="36">
        <f>+Tabla14[[#This Row],[PRECIO  INSTALADOR
( CON  IVA)]]-Tabla14[[#This Row],[Columna1]]</f>
        <v>109131.68699999999</v>
      </c>
      <c r="E11" s="36">
        <f>+Tabla14[[#This Row],[DPP ORO2]]</f>
        <v>97942.95</v>
      </c>
      <c r="F11" s="36">
        <f>+Tabla14[[#This Row],[Columna4]]</f>
        <v>96963.520499999999</v>
      </c>
      <c r="G11" s="36">
        <f>+Tabla14[[#This Row],[PRECIO  INSTALADOR
( CON  IVA)]]/0.7</f>
        <v>164107.79999999999</v>
      </c>
      <c r="H11" s="35">
        <f>+Tabla14[[#This Row],[PRECIO SUGERIDO INSTALADOR2]]*5%</f>
        <v>5743.7730000000001</v>
      </c>
      <c r="I11" s="29">
        <f t="shared" si="0"/>
        <v>23.685661855670102</v>
      </c>
      <c r="J11" s="29">
        <f t="shared" si="1"/>
        <v>20.194422680412369</v>
      </c>
      <c r="K11" s="34">
        <f t="shared" si="2"/>
        <v>19.992478453608246</v>
      </c>
      <c r="L11" s="34">
        <f t="shared" si="3"/>
        <v>19.992478453608246</v>
      </c>
      <c r="M11" s="34">
        <f t="shared" si="4"/>
        <v>96963.520499999999</v>
      </c>
      <c r="N11" s="33">
        <f t="shared" si="5"/>
        <v>979.42949999999996</v>
      </c>
      <c r="O11" s="4">
        <f t="shared" si="6"/>
        <v>20.194422680412369</v>
      </c>
      <c r="P11" s="32">
        <f>Tabla14[[#This Row],[ORO SIN IVA]]*1.19</f>
        <v>97942.95</v>
      </c>
      <c r="Q11" s="31">
        <f t="shared" si="7"/>
        <v>23.685661855670102</v>
      </c>
      <c r="R11" s="45">
        <f>Tabla14[[#This Row],[INSTALLER SIN IVA]]*1.19</f>
        <v>114875.45999999999</v>
      </c>
      <c r="S11" s="39">
        <v>82305</v>
      </c>
      <c r="T11" s="4">
        <v>96534</v>
      </c>
    </row>
    <row r="12" spans="1:20" ht="27" x14ac:dyDescent="0.25">
      <c r="A12" s="47" t="s">
        <v>387</v>
      </c>
      <c r="B12" s="46" t="s">
        <v>386</v>
      </c>
      <c r="C12" s="36">
        <f>+Tabla14[[#This Row],[PRECIO SUGERIDO INSTALADOR2]]</f>
        <v>82781.16</v>
      </c>
      <c r="D12" s="36">
        <f>+Tabla14[[#This Row],[PRECIO  INSTALADOR
( CON  IVA)]]-Tabla14[[#This Row],[Columna1]]</f>
        <v>78642.101999999999</v>
      </c>
      <c r="E12" s="36">
        <f>+Tabla14[[#This Row],[DPP ORO2]]</f>
        <v>70607.459999999992</v>
      </c>
      <c r="F12" s="36">
        <f>+Tabla14[[#This Row],[Columna4]]</f>
        <v>69901.385399999999</v>
      </c>
      <c r="G12" s="36">
        <f>+Tabla14[[#This Row],[PRECIO  INSTALADOR
( CON  IVA)]]/0.7</f>
        <v>118258.80000000002</v>
      </c>
      <c r="H12" s="35">
        <f>+Tabla14[[#This Row],[PRECIO SUGERIDO INSTALADOR2]]*5%</f>
        <v>4139.058</v>
      </c>
      <c r="I12" s="29">
        <f t="shared" si="0"/>
        <v>17.068280412371134</v>
      </c>
      <c r="J12" s="29">
        <f t="shared" si="1"/>
        <v>14.55823917525773</v>
      </c>
      <c r="K12" s="34">
        <f t="shared" si="2"/>
        <v>14.412656783505154</v>
      </c>
      <c r="L12" s="34">
        <f t="shared" si="3"/>
        <v>14.412656783505154</v>
      </c>
      <c r="M12" s="34">
        <f t="shared" si="4"/>
        <v>69901.385399999999</v>
      </c>
      <c r="N12" s="33">
        <f t="shared" si="5"/>
        <v>706.07459999999992</v>
      </c>
      <c r="O12" s="4">
        <f t="shared" si="6"/>
        <v>14.55823917525773</v>
      </c>
      <c r="P12" s="32">
        <f>Tabla14[[#This Row],[ORO SIN IVA]]*1.19</f>
        <v>70607.459999999992</v>
      </c>
      <c r="Q12" s="31">
        <f t="shared" si="7"/>
        <v>17.068280412371134</v>
      </c>
      <c r="R12" s="45">
        <f>Tabla14[[#This Row],[INSTALLER SIN IVA]]*1.19</f>
        <v>82781.16</v>
      </c>
      <c r="S12" s="39">
        <v>59334</v>
      </c>
      <c r="T12" s="4">
        <v>69564</v>
      </c>
    </row>
    <row r="13" spans="1:20" ht="40.5" x14ac:dyDescent="0.25">
      <c r="A13" s="38" t="s">
        <v>385</v>
      </c>
      <c r="B13" s="37" t="s">
        <v>384</v>
      </c>
      <c r="C13" s="36">
        <f>+Tabla14[[#This Row],[PRECIO SUGERIDO INSTALADOR2]]</f>
        <v>88702.599999999991</v>
      </c>
      <c r="D13" s="36">
        <f>+Tabla14[[#This Row],[PRECIO  INSTALADOR
( CON  IVA)]]-Tabla14[[#This Row],[Columna1]]</f>
        <v>84267.469999999987</v>
      </c>
      <c r="E13" s="36">
        <f>+Tabla14[[#This Row],[DPP ORO2]]</f>
        <v>75698.28</v>
      </c>
      <c r="F13" s="36">
        <f>+Tabla14[[#This Row],[Columna4]]</f>
        <v>74941.297200000001</v>
      </c>
      <c r="G13" s="36">
        <f>+Tabla14[[#This Row],[PRECIO  INSTALADOR
( CON  IVA)]]/0.7</f>
        <v>126718</v>
      </c>
      <c r="H13" s="35">
        <f>+Tabla14[[#This Row],[PRECIO SUGERIDO INSTALADOR2]]*5%</f>
        <v>4435.13</v>
      </c>
      <c r="I13" s="29">
        <f t="shared" si="0"/>
        <v>18.289195876288659</v>
      </c>
      <c r="J13" s="29">
        <f t="shared" si="1"/>
        <v>15.607892783505154</v>
      </c>
      <c r="K13" s="34">
        <f t="shared" si="2"/>
        <v>15.451813855670103</v>
      </c>
      <c r="L13" s="34">
        <f t="shared" si="3"/>
        <v>15.451813855670103</v>
      </c>
      <c r="M13" s="34">
        <f t="shared" si="4"/>
        <v>74941.297200000001</v>
      </c>
      <c r="N13" s="33">
        <f t="shared" si="5"/>
        <v>756.9828</v>
      </c>
      <c r="O13" s="4">
        <f t="shared" si="6"/>
        <v>15.607892783505154</v>
      </c>
      <c r="P13" s="32">
        <f>Tabla14[[#This Row],[ORO SIN IVA]]*1.19</f>
        <v>75698.28</v>
      </c>
      <c r="Q13" s="31">
        <f t="shared" si="7"/>
        <v>18.289195876288659</v>
      </c>
      <c r="R13" s="45">
        <f>Tabla14[[#This Row],[INSTALLER SIN IVA]]*1.19</f>
        <v>88702.599999999991</v>
      </c>
      <c r="S13" s="39">
        <v>63612</v>
      </c>
      <c r="T13" s="4">
        <v>74540</v>
      </c>
    </row>
    <row r="14" spans="1:20" ht="27" x14ac:dyDescent="0.25">
      <c r="A14" s="38" t="s">
        <v>383</v>
      </c>
      <c r="B14" s="37" t="s">
        <v>382</v>
      </c>
      <c r="C14" s="36">
        <f>+Tabla14[[#This Row],[PRECIO SUGERIDO INSTALADOR2]]</f>
        <v>106907.22</v>
      </c>
      <c r="D14" s="36">
        <f>+Tabla14[[#This Row],[PRECIO  INSTALADOR
( CON  IVA)]]-Tabla14[[#This Row],[Columna1]]</f>
        <v>101561.859</v>
      </c>
      <c r="E14" s="36">
        <f>+Tabla14[[#This Row],[DPP ORO2]]</f>
        <v>99423.714600000007</v>
      </c>
      <c r="F14" s="36">
        <f>+Tabla14[[#This Row],[Columna4]]</f>
        <v>98429.477454000007</v>
      </c>
      <c r="G14" s="36">
        <f>+Tabla14[[#This Row],[PRECIO  INSTALADOR
( CON  IVA)]]/0.7</f>
        <v>152724.6</v>
      </c>
      <c r="H14" s="35">
        <f>+Tabla14[[#This Row],[PRECIO SUGERIDO INSTALADOR2]]*5%</f>
        <v>5345.3610000000008</v>
      </c>
      <c r="I14" s="29">
        <f t="shared" si="0"/>
        <v>22.042725773195876</v>
      </c>
      <c r="J14" s="29">
        <f t="shared" si="1"/>
        <v>20.499734969072165</v>
      </c>
      <c r="K14" s="34">
        <f t="shared" si="2"/>
        <v>20.294737619381443</v>
      </c>
      <c r="L14" s="34">
        <f t="shared" si="3"/>
        <v>20.294737619381443</v>
      </c>
      <c r="M14" s="34">
        <f t="shared" si="4"/>
        <v>98429.477454000007</v>
      </c>
      <c r="N14" s="33">
        <f t="shared" si="5"/>
        <v>994.23714600000005</v>
      </c>
      <c r="O14" s="4">
        <f t="shared" si="6"/>
        <v>20.499734969072165</v>
      </c>
      <c r="P14" s="32">
        <f>Tabla14[[#This Row],[ORO SIN IVA]]*1.19</f>
        <v>99423.714600000007</v>
      </c>
      <c r="Q14" s="31">
        <f t="shared" si="7"/>
        <v>22.042725773195876</v>
      </c>
      <c r="R14" s="45">
        <f>Tabla14[[#This Row],[INSTALLER SIN IVA]]*1.19</f>
        <v>106907.22</v>
      </c>
      <c r="S14" s="39">
        <f>Tabla14[[#This Row],[INSTALLER SIN IVA]]*0.93</f>
        <v>83549.340000000011</v>
      </c>
      <c r="T14" s="4">
        <v>89838</v>
      </c>
    </row>
    <row r="15" spans="1:20" ht="40.5" x14ac:dyDescent="0.25">
      <c r="A15" s="38" t="s">
        <v>381</v>
      </c>
      <c r="B15" s="37" t="s">
        <v>380</v>
      </c>
      <c r="C15" s="36">
        <f>+Tabla14[[#This Row],[PRECIO SUGERIDO INSTALADOR2]]</f>
        <v>112219.37999999999</v>
      </c>
      <c r="D15" s="36">
        <f>+Tabla14[[#This Row],[PRECIO  INSTALADOR
( CON  IVA)]]-Tabla14[[#This Row],[Columna1]]</f>
        <v>106608.41099999999</v>
      </c>
      <c r="E15" s="36">
        <f>+Tabla14[[#This Row],[DPP ORO2]]</f>
        <v>104364.02339999999</v>
      </c>
      <c r="F15" s="36">
        <f>+Tabla14[[#This Row],[Columna4]]</f>
        <v>103320.38316599999</v>
      </c>
      <c r="G15" s="36">
        <f>+Tabla14[[#This Row],[PRECIO  INSTALADOR
( CON  IVA)]]/0.7</f>
        <v>160313.4</v>
      </c>
      <c r="H15" s="35">
        <f>+Tabla14[[#This Row],[PRECIO SUGERIDO INSTALADOR2]]*5%</f>
        <v>5610.9690000000001</v>
      </c>
      <c r="I15" s="29">
        <f t="shared" si="0"/>
        <v>23.13801649484536</v>
      </c>
      <c r="J15" s="29">
        <f t="shared" si="1"/>
        <v>21.518355340206185</v>
      </c>
      <c r="K15" s="34">
        <f t="shared" si="2"/>
        <v>21.303171786804121</v>
      </c>
      <c r="L15" s="34">
        <f t="shared" si="3"/>
        <v>21.303171786804121</v>
      </c>
      <c r="M15" s="34">
        <f t="shared" si="4"/>
        <v>103320.38316599999</v>
      </c>
      <c r="N15" s="33">
        <f t="shared" si="5"/>
        <v>1043.640234</v>
      </c>
      <c r="O15" s="4">
        <f t="shared" si="6"/>
        <v>21.518355340206185</v>
      </c>
      <c r="P15" s="32">
        <f>Tabla14[[#This Row],[ORO SIN IVA]]*1.19</f>
        <v>104364.02339999999</v>
      </c>
      <c r="Q15" s="31">
        <f t="shared" si="7"/>
        <v>23.13801649484536</v>
      </c>
      <c r="R15" s="45">
        <f>Tabla14[[#This Row],[INSTALLER SIN IVA]]*1.19</f>
        <v>112219.37999999999</v>
      </c>
      <c r="S15" s="39">
        <f>Tabla14[[#This Row],[INSTALLER SIN IVA]]*0.93</f>
        <v>87700.86</v>
      </c>
      <c r="T15" s="4">
        <v>94302</v>
      </c>
    </row>
    <row r="16" spans="1:20" ht="27" x14ac:dyDescent="0.25">
      <c r="A16" s="47" t="s">
        <v>379</v>
      </c>
      <c r="B16" s="46" t="s">
        <v>378</v>
      </c>
      <c r="C16" s="36">
        <f>+Tabla14[[#This Row],[PRECIO SUGERIDO INSTALADOR2]]</f>
        <v>129318.48999999999</v>
      </c>
      <c r="D16" s="36">
        <f>+Tabla14[[#This Row],[PRECIO  INSTALADOR
( CON  IVA)]]-Tabla14[[#This Row],[Columna1]]</f>
        <v>122852.5655</v>
      </c>
      <c r="E16" s="36">
        <f>+Tabla14[[#This Row],[DPP ORO2]]</f>
        <v>110227.31999999999</v>
      </c>
      <c r="F16" s="36">
        <f>+Tabla14[[#This Row],[Columna4]]</f>
        <v>109125.0468</v>
      </c>
      <c r="G16" s="36">
        <f>+Tabla14[[#This Row],[PRECIO  INSTALADOR
( CON  IVA)]]/0.7</f>
        <v>184740.7</v>
      </c>
      <c r="H16" s="35">
        <f>+Tabla14[[#This Row],[PRECIO SUGERIDO INSTALADOR2]]*5%</f>
        <v>6465.9245000000001</v>
      </c>
      <c r="I16" s="29">
        <f t="shared" si="0"/>
        <v>26.663606185567009</v>
      </c>
      <c r="J16" s="29">
        <f t="shared" si="1"/>
        <v>22.727282474226804</v>
      </c>
      <c r="K16" s="34">
        <f t="shared" si="2"/>
        <v>22.500009649484536</v>
      </c>
      <c r="L16" s="34">
        <f t="shared" si="3"/>
        <v>22.500009649484536</v>
      </c>
      <c r="M16" s="34">
        <f t="shared" si="4"/>
        <v>109125.0468</v>
      </c>
      <c r="N16" s="33">
        <f t="shared" si="5"/>
        <v>1102.2731999999999</v>
      </c>
      <c r="O16" s="4">
        <f t="shared" si="6"/>
        <v>22.727282474226804</v>
      </c>
      <c r="P16" s="32">
        <f>Tabla14[[#This Row],[ORO SIN IVA]]*1.19</f>
        <v>110227.31999999999</v>
      </c>
      <c r="Q16" s="31">
        <f t="shared" si="7"/>
        <v>26.663606185567009</v>
      </c>
      <c r="R16" s="45">
        <f>Tabla14[[#This Row],[INSTALLER SIN IVA]]*1.19</f>
        <v>129318.48999999999</v>
      </c>
      <c r="S16" s="39">
        <v>92628</v>
      </c>
      <c r="T16" s="4">
        <v>108671</v>
      </c>
    </row>
    <row r="17" spans="1:20" ht="15" x14ac:dyDescent="0.25">
      <c r="A17" s="38" t="s">
        <v>377</v>
      </c>
      <c r="B17" s="37" t="s">
        <v>376</v>
      </c>
      <c r="C17" s="36">
        <f>+Tabla14[[#This Row],[PRECIO SUGERIDO INSTALADOR2]]</f>
        <v>140993.57999999999</v>
      </c>
      <c r="D17" s="36">
        <f>+Tabla14[[#This Row],[PRECIO  INSTALADOR
( CON  IVA)]]-Tabla14[[#This Row],[Columna1]]</f>
        <v>133943.90099999998</v>
      </c>
      <c r="E17" s="36">
        <f>+Tabla14[[#This Row],[DPP ORO2]]</f>
        <v>131124.0294</v>
      </c>
      <c r="F17" s="36">
        <f>+Tabla14[[#This Row],[Columna4]]</f>
        <v>129812.789106</v>
      </c>
      <c r="G17" s="36">
        <f>+Tabla14[[#This Row],[PRECIO  INSTALADOR
( CON  IVA)]]/0.7</f>
        <v>201419.4</v>
      </c>
      <c r="H17" s="35">
        <f>+Tabla14[[#This Row],[PRECIO SUGERIDO INSTALADOR2]]*5%</f>
        <v>7049.6790000000001</v>
      </c>
      <c r="I17" s="29">
        <f t="shared" si="0"/>
        <v>29.070841237113399</v>
      </c>
      <c r="J17" s="29">
        <f t="shared" si="1"/>
        <v>27.035882350515465</v>
      </c>
      <c r="K17" s="34">
        <f t="shared" si="2"/>
        <v>26.765523527010309</v>
      </c>
      <c r="L17" s="34">
        <f t="shared" si="3"/>
        <v>26.765523527010309</v>
      </c>
      <c r="M17" s="34">
        <f t="shared" si="4"/>
        <v>129812.789106</v>
      </c>
      <c r="N17" s="33">
        <f t="shared" si="5"/>
        <v>1311.2402939999999</v>
      </c>
      <c r="O17" s="4">
        <f t="shared" si="6"/>
        <v>27.035882350515465</v>
      </c>
      <c r="P17" s="32">
        <f>Tabla14[[#This Row],[ORO SIN IVA]]*1.19</f>
        <v>131124.0294</v>
      </c>
      <c r="Q17" s="31">
        <f t="shared" si="7"/>
        <v>29.070841237113399</v>
      </c>
      <c r="R17" s="45">
        <f>Tabla14[[#This Row],[INSTALLER SIN IVA]]*1.19</f>
        <v>140993.57999999999</v>
      </c>
      <c r="S17" s="39">
        <f>Tabla14[[#This Row],[INSTALLER SIN IVA]]*0.93</f>
        <v>110188.26000000001</v>
      </c>
      <c r="T17" s="4">
        <v>118482</v>
      </c>
    </row>
    <row r="18" spans="1:20" ht="27" x14ac:dyDescent="0.25">
      <c r="A18" s="60" t="s">
        <v>375</v>
      </c>
      <c r="B18" s="37" t="s">
        <v>189</v>
      </c>
      <c r="C18" s="36">
        <f>+Tabla14[[#This Row],[PRECIO SUGERIDO INSTALADOR2]]</f>
        <v>274682.94</v>
      </c>
      <c r="D18" s="36">
        <f>+Tabla14[[#This Row],[PRECIO  INSTALADOR
( CON  IVA)]]-Tabla14[[#This Row],[Columna1]]</f>
        <v>260948.79300000001</v>
      </c>
      <c r="E18" s="36">
        <f>+Tabla14[[#This Row],[DPP ORO2]]</f>
        <v>234177.72</v>
      </c>
      <c r="F18" s="36">
        <f>+Tabla14[[#This Row],[Columna4]]</f>
        <v>231835.94279999999</v>
      </c>
      <c r="G18" s="36">
        <f>+Tabla14[[#This Row],[PRECIO  INSTALADOR
( CON  IVA)]]/0.7</f>
        <v>392404.2</v>
      </c>
      <c r="H18" s="35">
        <f>+Tabla14[[#This Row],[PRECIO SUGERIDO INSTALADOR2]]*5%</f>
        <v>13734.147000000001</v>
      </c>
      <c r="I18" s="29">
        <f t="shared" si="0"/>
        <v>56.635657731958766</v>
      </c>
      <c r="J18" s="29">
        <f t="shared" si="1"/>
        <v>48.284065979381445</v>
      </c>
      <c r="K18" s="34">
        <f t="shared" si="2"/>
        <v>47.80122531958763</v>
      </c>
      <c r="L18" s="34">
        <f t="shared" si="3"/>
        <v>47.80122531958763</v>
      </c>
      <c r="M18" s="34">
        <f t="shared" si="4"/>
        <v>231835.94279999999</v>
      </c>
      <c r="N18" s="33">
        <f t="shared" si="5"/>
        <v>2341.7772</v>
      </c>
      <c r="O18" s="4">
        <f t="shared" si="6"/>
        <v>48.284065979381445</v>
      </c>
      <c r="P18" s="32">
        <f>Tabla14[[#This Row],[ORO SIN IVA]]*1.19</f>
        <v>234177.72</v>
      </c>
      <c r="Q18" s="31">
        <f t="shared" si="7"/>
        <v>56.635657731958766</v>
      </c>
      <c r="R18" s="45">
        <f>Tabla14[[#This Row],[INSTALLER SIN IVA]]*1.19</f>
        <v>274682.94</v>
      </c>
      <c r="S18" s="39">
        <v>196788</v>
      </c>
      <c r="T18" s="4">
        <v>230826</v>
      </c>
    </row>
    <row r="19" spans="1:20" ht="27" x14ac:dyDescent="0.25">
      <c r="A19" s="38" t="s">
        <v>374</v>
      </c>
      <c r="B19" s="37" t="s">
        <v>170</v>
      </c>
      <c r="C19" s="36">
        <f>+Tabla14[[#This Row],[PRECIO SUGERIDO INSTALADOR2]]</f>
        <v>137207</v>
      </c>
      <c r="D19" s="36">
        <f>+Tabla14[[#This Row],[PRECIO  INSTALADOR
( CON  IVA)]]-Tabla14[[#This Row],[Columna1]]</f>
        <v>130346.65</v>
      </c>
      <c r="E19" s="36">
        <f>+Tabla14[[#This Row],[DPP ORO2]]</f>
        <v>127602.51</v>
      </c>
      <c r="F19" s="36">
        <f>+Tabla14[[#This Row],[Columna4]]</f>
        <v>126326.4849</v>
      </c>
      <c r="G19" s="36">
        <f>+Tabla14[[#This Row],[PRECIO  INSTALADOR
( CON  IVA)]]/0.7</f>
        <v>196010</v>
      </c>
      <c r="H19" s="35">
        <f>+Tabla14[[#This Row],[PRECIO SUGERIDO INSTALADOR2]]*5%</f>
        <v>6860.35</v>
      </c>
      <c r="I19" s="29">
        <f t="shared" si="0"/>
        <v>28.290103092783504</v>
      </c>
      <c r="J19" s="29">
        <f t="shared" si="1"/>
        <v>26.309795876288657</v>
      </c>
      <c r="K19" s="34">
        <f t="shared" si="2"/>
        <v>26.046697917525773</v>
      </c>
      <c r="L19" s="34">
        <f t="shared" si="3"/>
        <v>26.046697917525773</v>
      </c>
      <c r="M19" s="34">
        <f t="shared" si="4"/>
        <v>126326.4849</v>
      </c>
      <c r="N19" s="33">
        <f t="shared" si="5"/>
        <v>1276.0251000000001</v>
      </c>
      <c r="O19" s="4">
        <f t="shared" si="6"/>
        <v>26.309795876288657</v>
      </c>
      <c r="P19" s="32">
        <f>Tabla14[[#This Row],[ORO SIN IVA]]*1.19</f>
        <v>127602.51</v>
      </c>
      <c r="Q19" s="31">
        <f t="shared" si="7"/>
        <v>28.290103092783504</v>
      </c>
      <c r="R19" s="45">
        <f>Tabla14[[#This Row],[INSTALLER SIN IVA]]*1.19</f>
        <v>137207</v>
      </c>
      <c r="S19" s="39">
        <f>Tabla14[[#This Row],[INSTALLER SIN IVA]]*0.93</f>
        <v>107229</v>
      </c>
      <c r="T19" s="4">
        <v>115300</v>
      </c>
    </row>
    <row r="20" spans="1:20" ht="27" x14ac:dyDescent="0.25">
      <c r="A20" s="38" t="s">
        <v>373</v>
      </c>
      <c r="B20" s="37" t="s">
        <v>372</v>
      </c>
      <c r="C20" s="36">
        <f>+Tabla14[[#This Row],[PRECIO SUGERIDO INSTALADOR2]]</f>
        <v>169381.03</v>
      </c>
      <c r="D20" s="36">
        <f>+Tabla14[[#This Row],[PRECIO  INSTALADOR
( CON  IVA)]]-Tabla14[[#This Row],[Columna1]]</f>
        <v>160911.9785</v>
      </c>
      <c r="E20" s="36">
        <f>+Tabla14[[#This Row],[DPP ORO2]]</f>
        <v>144369.60999999999</v>
      </c>
      <c r="F20" s="36">
        <f>+Tabla14[[#This Row],[Columna4]]</f>
        <v>142925.91389999999</v>
      </c>
      <c r="G20" s="36">
        <f>+Tabla14[[#This Row],[PRECIO  INSTALADOR
( CON  IVA)]]/0.7</f>
        <v>241972.90000000002</v>
      </c>
      <c r="H20" s="35">
        <f>+Tabla14[[#This Row],[PRECIO SUGERIDO INSTALADOR2]]*5%</f>
        <v>8469.0514999999996</v>
      </c>
      <c r="I20" s="29">
        <f t="shared" si="0"/>
        <v>34.923923711340208</v>
      </c>
      <c r="J20" s="29">
        <f t="shared" si="1"/>
        <v>29.766929896907214</v>
      </c>
      <c r="K20" s="34">
        <f t="shared" si="2"/>
        <v>29.469260597938142</v>
      </c>
      <c r="L20" s="34">
        <f t="shared" si="3"/>
        <v>29.469260597938142</v>
      </c>
      <c r="M20" s="34">
        <f t="shared" si="4"/>
        <v>142925.91389999999</v>
      </c>
      <c r="N20" s="33">
        <f t="shared" si="5"/>
        <v>1443.6960999999999</v>
      </c>
      <c r="O20" s="4">
        <f t="shared" si="6"/>
        <v>29.766929896907214</v>
      </c>
      <c r="P20" s="32">
        <f>Tabla14[[#This Row],[ORO SIN IVA]]*1.19</f>
        <v>144369.60999999999</v>
      </c>
      <c r="Q20" s="31">
        <f t="shared" si="7"/>
        <v>34.923923711340208</v>
      </c>
      <c r="R20" s="45">
        <f>Tabla14[[#This Row],[INSTALLER SIN IVA]]*1.19</f>
        <v>169381.03</v>
      </c>
      <c r="S20" s="39">
        <v>121319</v>
      </c>
      <c r="T20" s="4">
        <v>142337</v>
      </c>
    </row>
    <row r="21" spans="1:20" ht="27" x14ac:dyDescent="0.25">
      <c r="A21" s="38" t="s">
        <v>371</v>
      </c>
      <c r="B21" s="37" t="s">
        <v>370</v>
      </c>
      <c r="C21" s="36">
        <f>+Tabla14[[#This Row],[PRECIO SUGERIDO INSTALADOR2]]</f>
        <v>146084.4</v>
      </c>
      <c r="D21" s="36">
        <f>+Tabla14[[#This Row],[PRECIO  INSTALADOR
( CON  IVA)]]-Tabla14[[#This Row],[Columna1]]</f>
        <v>138780.18</v>
      </c>
      <c r="E21" s="36">
        <f>+Tabla14[[#This Row],[DPP ORO2]]</f>
        <v>124503.75</v>
      </c>
      <c r="F21" s="36">
        <f>+Tabla14[[#This Row],[Columna4]]</f>
        <v>123258.71249999999</v>
      </c>
      <c r="G21" s="36">
        <f>+Tabla14[[#This Row],[PRECIO  INSTALADOR
( CON  IVA)]]/0.7</f>
        <v>208692</v>
      </c>
      <c r="H21" s="35">
        <f>+Tabla14[[#This Row],[PRECIO SUGERIDO INSTALADOR2]]*5%</f>
        <v>7304.22</v>
      </c>
      <c r="I21" s="29">
        <f t="shared" si="0"/>
        <v>30.120494845360824</v>
      </c>
      <c r="J21" s="29">
        <f t="shared" si="1"/>
        <v>25.670876288659795</v>
      </c>
      <c r="K21" s="34">
        <f t="shared" si="2"/>
        <v>25.414167525773195</v>
      </c>
      <c r="L21" s="34">
        <f t="shared" si="3"/>
        <v>25.414167525773195</v>
      </c>
      <c r="M21" s="34">
        <f t="shared" si="4"/>
        <v>123258.71249999999</v>
      </c>
      <c r="N21" s="33">
        <f t="shared" si="5"/>
        <v>1245.0375000000001</v>
      </c>
      <c r="O21" s="4">
        <f t="shared" si="6"/>
        <v>25.670876288659795</v>
      </c>
      <c r="P21" s="32">
        <f>Tabla14[[#This Row],[ORO SIN IVA]]*1.19</f>
        <v>124503.75</v>
      </c>
      <c r="Q21" s="31">
        <f t="shared" si="7"/>
        <v>30.120494845360824</v>
      </c>
      <c r="R21" s="45">
        <f>Tabla14[[#This Row],[INSTALLER SIN IVA]]*1.19</f>
        <v>146084.4</v>
      </c>
      <c r="S21" s="39">
        <v>104625</v>
      </c>
      <c r="T21" s="4">
        <v>122760</v>
      </c>
    </row>
    <row r="22" spans="1:20" ht="27" x14ac:dyDescent="0.25">
      <c r="A22" s="38" t="s">
        <v>369</v>
      </c>
      <c r="B22" s="37" t="s">
        <v>368</v>
      </c>
      <c r="C22" s="36">
        <f>+Tabla14[[#This Row],[PRECIO SUGERIDO INSTALADOR2]]</f>
        <v>336215.45999999996</v>
      </c>
      <c r="D22" s="36">
        <f>+Tabla14[[#This Row],[PRECIO  INSTALADOR
( CON  IVA)]]-Tabla14[[#This Row],[Columna1]]</f>
        <v>319404.68699999998</v>
      </c>
      <c r="E22" s="36">
        <f>+Tabla14[[#This Row],[DPP ORO2]]</f>
        <v>286635.3</v>
      </c>
      <c r="F22" s="36">
        <f>+Tabla14[[#This Row],[Columna4]]</f>
        <v>283768.94699999999</v>
      </c>
      <c r="G22" s="36">
        <f>+Tabla14[[#This Row],[PRECIO  INSTALADOR
( CON  IVA)]]/0.7</f>
        <v>480307.8</v>
      </c>
      <c r="H22" s="35">
        <f>+Tabla14[[#This Row],[PRECIO SUGERIDO INSTALADOR2]]*5%</f>
        <v>16810.772999999997</v>
      </c>
      <c r="I22" s="29">
        <f t="shared" si="0"/>
        <v>69.322775257731948</v>
      </c>
      <c r="J22" s="29">
        <f t="shared" si="1"/>
        <v>59.100061855670099</v>
      </c>
      <c r="K22" s="34">
        <f t="shared" si="2"/>
        <v>58.5090612371134</v>
      </c>
      <c r="L22" s="34">
        <f t="shared" si="3"/>
        <v>58.5090612371134</v>
      </c>
      <c r="M22" s="34">
        <f t="shared" si="4"/>
        <v>283768.94699999999</v>
      </c>
      <c r="N22" s="33">
        <f t="shared" si="5"/>
        <v>2866.3530000000001</v>
      </c>
      <c r="O22" s="4">
        <f t="shared" si="6"/>
        <v>59.100061855670099</v>
      </c>
      <c r="P22" s="32">
        <f>Tabla14[[#This Row],[ORO SIN IVA]]*1.19</f>
        <v>286635.3</v>
      </c>
      <c r="Q22" s="31">
        <f t="shared" si="7"/>
        <v>69.322775257731948</v>
      </c>
      <c r="R22" s="45">
        <f>Tabla14[[#This Row],[INSTALLER SIN IVA]]*1.19</f>
        <v>336215.45999999996</v>
      </c>
      <c r="S22" s="39">
        <v>240870</v>
      </c>
      <c r="T22" s="4">
        <v>282534</v>
      </c>
    </row>
    <row r="23" spans="1:20" ht="15" x14ac:dyDescent="0.25">
      <c r="A23" s="38" t="s">
        <v>367</v>
      </c>
      <c r="B23" s="37" t="s">
        <v>366</v>
      </c>
      <c r="C23" s="36">
        <f>+Tabla14[[#This Row],[PRECIO SUGERIDO INSTALADOR2]]</f>
        <v>82338.48</v>
      </c>
      <c r="D23" s="36">
        <f>+Tabla14[[#This Row],[PRECIO  INSTALADOR
( CON  IVA)]]-Tabla14[[#This Row],[Columna1]]</f>
        <v>78221.555999999997</v>
      </c>
      <c r="E23" s="36">
        <f>+Tabla14[[#This Row],[DPP ORO2]]</f>
        <v>70220.709999999992</v>
      </c>
      <c r="F23" s="36">
        <f>+Tabla14[[#This Row],[Columna4]]</f>
        <v>69518.502899999992</v>
      </c>
      <c r="G23" s="36">
        <f>+Tabla14[[#This Row],[PRECIO  INSTALADOR
( CON  IVA)]]/0.7</f>
        <v>117626.40000000001</v>
      </c>
      <c r="H23" s="35">
        <f>+Tabla14[[#This Row],[PRECIO SUGERIDO INSTALADOR2]]*5%</f>
        <v>4116.924</v>
      </c>
      <c r="I23" s="29">
        <f t="shared" si="0"/>
        <v>16.97700618556701</v>
      </c>
      <c r="J23" s="29">
        <f t="shared" si="1"/>
        <v>14.478496907216494</v>
      </c>
      <c r="K23" s="34">
        <f t="shared" si="2"/>
        <v>14.333711938144328</v>
      </c>
      <c r="L23" s="34">
        <f t="shared" si="3"/>
        <v>14.333711938144328</v>
      </c>
      <c r="M23" s="34">
        <f t="shared" si="4"/>
        <v>69518.502899999992</v>
      </c>
      <c r="N23" s="33">
        <f t="shared" si="5"/>
        <v>702.20709999999997</v>
      </c>
      <c r="O23" s="4">
        <f t="shared" si="6"/>
        <v>14.478496907216494</v>
      </c>
      <c r="P23" s="32">
        <f>Tabla14[[#This Row],[ORO SIN IVA]]*1.19</f>
        <v>70220.709999999992</v>
      </c>
      <c r="Q23" s="31">
        <f t="shared" si="7"/>
        <v>16.97700618556701</v>
      </c>
      <c r="R23" s="45">
        <f>Tabla14[[#This Row],[INSTALLER SIN IVA]]*1.19</f>
        <v>82338.48</v>
      </c>
      <c r="S23" s="39">
        <v>59009</v>
      </c>
      <c r="T23" s="4">
        <v>69192</v>
      </c>
    </row>
    <row r="24" spans="1:20" ht="27" x14ac:dyDescent="0.25">
      <c r="A24" s="38" t="s">
        <v>365</v>
      </c>
      <c r="B24" s="37" t="s">
        <v>364</v>
      </c>
      <c r="C24" s="36">
        <f>+Tabla14[[#This Row],[PRECIO SUGERIDO INSTALADOR2]]</f>
        <v>61311.18</v>
      </c>
      <c r="D24" s="36">
        <f>+Tabla14[[#This Row],[PRECIO  INSTALADOR
( CON  IVA)]]-Tabla14[[#This Row],[Columna1]]</f>
        <v>58245.620999999999</v>
      </c>
      <c r="E24" s="36">
        <f>+Tabla14[[#This Row],[DPP ORO2]]</f>
        <v>52292.17</v>
      </c>
      <c r="F24" s="36">
        <f>+Tabla14[[#This Row],[Columna4]]</f>
        <v>51769.248299999999</v>
      </c>
      <c r="G24" s="36">
        <f>+Tabla14[[#This Row],[PRECIO  INSTALADOR
( CON  IVA)]]/0.7</f>
        <v>87587.400000000009</v>
      </c>
      <c r="H24" s="35">
        <f>+Tabla14[[#This Row],[PRECIO SUGERIDO INSTALADOR2]]*5%</f>
        <v>3065.5590000000002</v>
      </c>
      <c r="I24" s="29">
        <f t="shared" si="0"/>
        <v>12.641480412371134</v>
      </c>
      <c r="J24" s="29">
        <f t="shared" si="1"/>
        <v>10.781890721649484</v>
      </c>
      <c r="K24" s="34">
        <f t="shared" si="2"/>
        <v>10.67407181443299</v>
      </c>
      <c r="L24" s="34">
        <f t="shared" si="3"/>
        <v>10.67407181443299</v>
      </c>
      <c r="M24" s="34">
        <f t="shared" si="4"/>
        <v>51769.248299999999</v>
      </c>
      <c r="N24" s="33">
        <f t="shared" si="5"/>
        <v>522.92169999999999</v>
      </c>
      <c r="O24" s="4">
        <f t="shared" si="6"/>
        <v>10.781890721649484</v>
      </c>
      <c r="P24" s="32">
        <f>Tabla14[[#This Row],[ORO SIN IVA]]*1.19</f>
        <v>52292.17</v>
      </c>
      <c r="Q24" s="31">
        <f t="shared" si="7"/>
        <v>12.641480412371134</v>
      </c>
      <c r="R24" s="45">
        <f>Tabla14[[#This Row],[INSTALLER SIN IVA]]*1.19</f>
        <v>61311.18</v>
      </c>
      <c r="S24" s="39">
        <v>43943</v>
      </c>
      <c r="T24" s="4">
        <v>51522</v>
      </c>
    </row>
    <row r="25" spans="1:20" ht="27" x14ac:dyDescent="0.25">
      <c r="A25" s="38" t="s">
        <v>363</v>
      </c>
      <c r="B25" s="37" t="s">
        <v>144</v>
      </c>
      <c r="C25" s="36">
        <f>+Tabla14[[#This Row],[PRECIO SUGERIDO INSTALADOR2]]</f>
        <v>111555.36</v>
      </c>
      <c r="D25" s="36">
        <f>+Tabla14[[#This Row],[PRECIO  INSTALADOR
( CON  IVA)]]-Tabla14[[#This Row],[Columna1]]</f>
        <v>105977.592</v>
      </c>
      <c r="E25" s="36">
        <f>+Tabla14[[#This Row],[DPP ORO2]]</f>
        <v>95121.459999999992</v>
      </c>
      <c r="F25" s="36">
        <f>+Tabla14[[#This Row],[Columna4]]</f>
        <v>94170.245399999985</v>
      </c>
      <c r="G25" s="36">
        <f>+Tabla14[[#This Row],[PRECIO  INSTALADOR
( CON  IVA)]]/0.7</f>
        <v>159364.80000000002</v>
      </c>
      <c r="H25" s="35">
        <f>+Tabla14[[#This Row],[PRECIO SUGERIDO INSTALADOR2]]*5%</f>
        <v>5577.768</v>
      </c>
      <c r="I25" s="29">
        <f t="shared" si="0"/>
        <v>23.001105154639177</v>
      </c>
      <c r="J25" s="29">
        <f t="shared" si="1"/>
        <v>19.612672164948453</v>
      </c>
      <c r="K25" s="34">
        <f t="shared" si="2"/>
        <v>19.416545443298965</v>
      </c>
      <c r="L25" s="34">
        <f t="shared" si="3"/>
        <v>19.416545443298965</v>
      </c>
      <c r="M25" s="34">
        <f t="shared" si="4"/>
        <v>94170.245399999985</v>
      </c>
      <c r="N25" s="33">
        <f t="shared" si="5"/>
        <v>951.2145999999999</v>
      </c>
      <c r="O25" s="4">
        <f t="shared" si="6"/>
        <v>19.612672164948453</v>
      </c>
      <c r="P25" s="32">
        <f>Tabla14[[#This Row],[ORO SIN IVA]]*1.19</f>
        <v>95121.459999999992</v>
      </c>
      <c r="Q25" s="31">
        <f t="shared" si="7"/>
        <v>23.001105154639177</v>
      </c>
      <c r="R25" s="45">
        <f>Tabla14[[#This Row],[INSTALLER SIN IVA]]*1.19</f>
        <v>111555.36</v>
      </c>
      <c r="S25" s="39">
        <v>79934</v>
      </c>
      <c r="T25" s="4">
        <v>93744</v>
      </c>
    </row>
    <row r="26" spans="1:20" ht="40.5" x14ac:dyDescent="0.25">
      <c r="A26" s="38" t="s">
        <v>362</v>
      </c>
      <c r="B26" s="37" t="s">
        <v>361</v>
      </c>
      <c r="C26" s="36">
        <f>+Tabla14[[#This Row],[PRECIO SUGERIDO INSTALADOR2]]</f>
        <v>147911.04999999999</v>
      </c>
      <c r="D26" s="36">
        <f>+Tabla14[[#This Row],[PRECIO  INSTALADOR
( CON  IVA)]]-Tabla14[[#This Row],[Columna1]]</f>
        <v>140515.4975</v>
      </c>
      <c r="E26" s="36">
        <f>+Tabla14[[#This Row],[DPP ORO2]]</f>
        <v>137557.27650000001</v>
      </c>
      <c r="F26" s="36">
        <f>+Tabla14[[#This Row],[Columna4]]</f>
        <v>136181.70373500002</v>
      </c>
      <c r="G26" s="36">
        <f>+Tabla14[[#This Row],[PRECIO  INSTALADOR
( CON  IVA)]]/0.7</f>
        <v>211301.5</v>
      </c>
      <c r="H26" s="35">
        <f>+Tabla14[[#This Row],[PRECIO SUGERIDO INSTALADOR2]]*5%</f>
        <v>7395.5524999999998</v>
      </c>
      <c r="I26" s="29">
        <f t="shared" si="0"/>
        <v>30.497123711340205</v>
      </c>
      <c r="J26" s="29">
        <f t="shared" si="1"/>
        <v>28.362325051546392</v>
      </c>
      <c r="K26" s="34">
        <f t="shared" si="2"/>
        <v>28.078701801030931</v>
      </c>
      <c r="L26" s="34">
        <f t="shared" si="3"/>
        <v>28.078701801030931</v>
      </c>
      <c r="M26" s="34">
        <f t="shared" si="4"/>
        <v>136181.70373500002</v>
      </c>
      <c r="N26" s="33">
        <f t="shared" si="5"/>
        <v>1375.5727650000001</v>
      </c>
      <c r="O26" s="4">
        <f t="shared" si="6"/>
        <v>28.362325051546392</v>
      </c>
      <c r="P26" s="32">
        <f>Tabla14[[#This Row],[ORO SIN IVA]]*1.19</f>
        <v>137557.27650000001</v>
      </c>
      <c r="Q26" s="31">
        <f t="shared" si="7"/>
        <v>30.497123711340205</v>
      </c>
      <c r="R26" s="45">
        <f>Tabla14[[#This Row],[INSTALLER SIN IVA]]*1.19</f>
        <v>147911.04999999999</v>
      </c>
      <c r="S26" s="39">
        <f>Tabla14[[#This Row],[INSTALLER SIN IVA]]*0.93</f>
        <v>115594.35</v>
      </c>
      <c r="T26" s="4">
        <v>124295</v>
      </c>
    </row>
    <row r="27" spans="1:20" ht="40.5" x14ac:dyDescent="0.25">
      <c r="A27" s="38" t="s">
        <v>360</v>
      </c>
      <c r="B27" s="37" t="s">
        <v>359</v>
      </c>
      <c r="C27" s="36">
        <f>+Tabla14[[#This Row],[PRECIO SUGERIDO INSTALADOR2]]</f>
        <v>113326.08</v>
      </c>
      <c r="D27" s="36">
        <f>+Tabla14[[#This Row],[PRECIO  INSTALADOR
( CON  IVA)]]-Tabla14[[#This Row],[Columna1]]</f>
        <v>107659.776</v>
      </c>
      <c r="E27" s="36">
        <f>+Tabla14[[#This Row],[DPP ORO2]]</f>
        <v>96614.909999999989</v>
      </c>
      <c r="F27" s="36">
        <f>+Tabla14[[#This Row],[Columna4]]</f>
        <v>95648.760899999994</v>
      </c>
      <c r="G27" s="36">
        <f>+Tabla14[[#This Row],[PRECIO  INSTALADOR
( CON  IVA)]]/0.7</f>
        <v>161894.40000000002</v>
      </c>
      <c r="H27" s="35">
        <f>+Tabla14[[#This Row],[PRECIO SUGERIDO INSTALADOR2]]*5%</f>
        <v>5666.3040000000001</v>
      </c>
      <c r="I27" s="29">
        <f t="shared" si="0"/>
        <v>23.36620206185567</v>
      </c>
      <c r="J27" s="29">
        <f t="shared" si="1"/>
        <v>19.920599999999997</v>
      </c>
      <c r="K27" s="34">
        <f t="shared" si="2"/>
        <v>19.721394</v>
      </c>
      <c r="L27" s="34">
        <f t="shared" si="3"/>
        <v>19.721394</v>
      </c>
      <c r="M27" s="34">
        <f t="shared" si="4"/>
        <v>95648.760899999994</v>
      </c>
      <c r="N27" s="33">
        <f t="shared" si="5"/>
        <v>966.14909999999986</v>
      </c>
      <c r="O27" s="4">
        <f t="shared" si="6"/>
        <v>19.920599999999997</v>
      </c>
      <c r="P27" s="32">
        <f>Tabla14[[#This Row],[ORO SIN IVA]]*1.19</f>
        <v>96614.909999999989</v>
      </c>
      <c r="Q27" s="31">
        <f t="shared" si="7"/>
        <v>23.36620206185567</v>
      </c>
      <c r="R27" s="45">
        <f>Tabla14[[#This Row],[INSTALLER SIN IVA]]*1.19</f>
        <v>113326.08</v>
      </c>
      <c r="S27" s="39">
        <v>81189</v>
      </c>
      <c r="T27" s="4">
        <v>95232</v>
      </c>
    </row>
    <row r="28" spans="1:20" ht="40.5" x14ac:dyDescent="0.25">
      <c r="A28" s="38" t="s">
        <v>358</v>
      </c>
      <c r="B28" s="37" t="s">
        <v>357</v>
      </c>
      <c r="C28" s="36">
        <f>+Tabla14[[#This Row],[PRECIO SUGERIDO INSTALADOR2]]</f>
        <v>100101.61</v>
      </c>
      <c r="D28" s="36">
        <f>+Tabla14[[#This Row],[PRECIO  INSTALADOR
( CON  IVA)]]-Tabla14[[#This Row],[Columna1]]</f>
        <v>95096.529500000004</v>
      </c>
      <c r="E28" s="36">
        <f>+Tabla14[[#This Row],[DPP ORO2]]</f>
        <v>85326.569999999992</v>
      </c>
      <c r="F28" s="36">
        <f>+Tabla14[[#This Row],[Columna4]]</f>
        <v>84473.304299999989</v>
      </c>
      <c r="G28" s="36">
        <f>+Tabla14[[#This Row],[PRECIO  INSTALADOR
( CON  IVA)]]/0.7</f>
        <v>143002.30000000002</v>
      </c>
      <c r="H28" s="35">
        <f>+Tabla14[[#This Row],[PRECIO SUGERIDO INSTALADOR2]]*5%</f>
        <v>5005.0805</v>
      </c>
      <c r="I28" s="29">
        <f t="shared" si="0"/>
        <v>20.639507216494845</v>
      </c>
      <c r="J28" s="29">
        <f t="shared" si="1"/>
        <v>17.593107216494843</v>
      </c>
      <c r="K28" s="34">
        <f t="shared" si="2"/>
        <v>17.417176144329893</v>
      </c>
      <c r="L28" s="34">
        <f t="shared" si="3"/>
        <v>17.417176144329893</v>
      </c>
      <c r="M28" s="34">
        <f t="shared" si="4"/>
        <v>84473.304299999989</v>
      </c>
      <c r="N28" s="33">
        <f t="shared" si="5"/>
        <v>853.26569999999992</v>
      </c>
      <c r="O28" s="4">
        <f t="shared" si="6"/>
        <v>17.593107216494843</v>
      </c>
      <c r="P28" s="32">
        <f>Tabla14[[#This Row],[ORO SIN IVA]]*1.19</f>
        <v>85326.569999999992</v>
      </c>
      <c r="Q28" s="31">
        <f t="shared" si="7"/>
        <v>20.639507216494845</v>
      </c>
      <c r="R28" s="45">
        <f>Tabla14[[#This Row],[INSTALLER SIN IVA]]*1.19</f>
        <v>100101.61</v>
      </c>
      <c r="S28" s="39">
        <v>71703</v>
      </c>
      <c r="T28" s="4">
        <v>84119</v>
      </c>
    </row>
    <row r="29" spans="1:20" ht="27" x14ac:dyDescent="0.25">
      <c r="A29" s="47" t="s">
        <v>356</v>
      </c>
      <c r="B29" s="48" t="s">
        <v>355</v>
      </c>
      <c r="C29" s="36">
        <f>+Tabla14[[#This Row],[PRECIO SUGERIDO INSTALADOR2]]</f>
        <v>107295.15999999999</v>
      </c>
      <c r="D29" s="36">
        <f>+Tabla14[[#This Row],[PRECIO  INSTALADOR
( CON  IVA)]]-Tabla14[[#This Row],[Columna1]]</f>
        <v>101930.40199999999</v>
      </c>
      <c r="E29" s="36">
        <f>+Tabla14[[#This Row],[DPP ORO2]]</f>
        <v>91469.349999999991</v>
      </c>
      <c r="F29" s="36">
        <f>+Tabla14[[#This Row],[Columna4]]</f>
        <v>90554.656499999997</v>
      </c>
      <c r="G29" s="36">
        <f>+Tabla14[[#This Row],[PRECIO  INSTALADOR
( CON  IVA)]]/0.7</f>
        <v>153278.79999999999</v>
      </c>
      <c r="H29" s="35">
        <f>+Tabla14[[#This Row],[PRECIO SUGERIDO INSTALADOR2]]*5%</f>
        <v>5364.7579999999998</v>
      </c>
      <c r="I29" s="29">
        <f t="shared" si="0"/>
        <v>22.122713402061855</v>
      </c>
      <c r="J29" s="29">
        <f t="shared" si="1"/>
        <v>18.85965979381443</v>
      </c>
      <c r="K29" s="34">
        <f t="shared" si="2"/>
        <v>18.67106319587629</v>
      </c>
      <c r="L29" s="34">
        <f t="shared" si="3"/>
        <v>18.67106319587629</v>
      </c>
      <c r="M29" s="34">
        <f t="shared" si="4"/>
        <v>90554.656499999997</v>
      </c>
      <c r="N29" s="33">
        <f t="shared" si="5"/>
        <v>914.69349999999997</v>
      </c>
      <c r="O29" s="4">
        <f t="shared" si="6"/>
        <v>18.85965979381443</v>
      </c>
      <c r="P29" s="32">
        <f>Tabla14[[#This Row],[ORO SIN IVA]]*1.19</f>
        <v>91469.349999999991</v>
      </c>
      <c r="Q29" s="31">
        <f t="shared" si="7"/>
        <v>22.122713402061855</v>
      </c>
      <c r="R29" s="45">
        <f>Tabla14[[#This Row],[INSTALLER SIN IVA]]*1.19</f>
        <v>107295.15999999999</v>
      </c>
      <c r="S29" s="39">
        <v>76865</v>
      </c>
      <c r="T29" s="4">
        <v>90164</v>
      </c>
    </row>
    <row r="30" spans="1:20" ht="40.5" x14ac:dyDescent="0.25">
      <c r="A30" s="47" t="s">
        <v>354</v>
      </c>
      <c r="B30" s="46" t="s">
        <v>353</v>
      </c>
      <c r="C30" s="36">
        <f>+Tabla14[[#This Row],[PRECIO SUGERIDO INSTALADOR2]]</f>
        <v>113326.08</v>
      </c>
      <c r="D30" s="36">
        <f>+Tabla14[[#This Row],[PRECIO  INSTALADOR
( CON  IVA)]]-Tabla14[[#This Row],[Columna1]]</f>
        <v>107659.776</v>
      </c>
      <c r="E30" s="36">
        <f>+Tabla14[[#This Row],[DPP ORO2]]</f>
        <v>105393.25440000001</v>
      </c>
      <c r="F30" s="36">
        <f>+Tabla14[[#This Row],[Columna4]]</f>
        <v>104339.32185600001</v>
      </c>
      <c r="G30" s="36">
        <f>+Tabla14[[#This Row],[PRECIO  INSTALADOR
( CON  IVA)]]/0.7</f>
        <v>161894.40000000002</v>
      </c>
      <c r="H30" s="35">
        <f>+Tabla14[[#This Row],[PRECIO SUGERIDO INSTALADOR2]]*5%</f>
        <v>5666.3040000000001</v>
      </c>
      <c r="I30" s="29">
        <f t="shared" si="0"/>
        <v>23.36620206185567</v>
      </c>
      <c r="J30" s="29">
        <f t="shared" si="1"/>
        <v>21.730567917525775</v>
      </c>
      <c r="K30" s="34">
        <f t="shared" si="2"/>
        <v>21.513262238350517</v>
      </c>
      <c r="L30" s="34">
        <f t="shared" si="3"/>
        <v>21.513262238350517</v>
      </c>
      <c r="M30" s="34">
        <f t="shared" si="4"/>
        <v>104339.32185600001</v>
      </c>
      <c r="N30" s="33">
        <f t="shared" si="5"/>
        <v>1053.932544</v>
      </c>
      <c r="O30" s="4">
        <f t="shared" si="6"/>
        <v>21.730567917525775</v>
      </c>
      <c r="P30" s="32">
        <f>Tabla14[[#This Row],[ORO SIN IVA]]*1.19</f>
        <v>105393.25440000001</v>
      </c>
      <c r="Q30" s="31">
        <f t="shared" si="7"/>
        <v>23.36620206185567</v>
      </c>
      <c r="R30" s="45">
        <f>Tabla14[[#This Row],[INSTALLER SIN IVA]]*1.19</f>
        <v>113326.08</v>
      </c>
      <c r="S30" s="39">
        <f>Tabla14[[#This Row],[INSTALLER SIN IVA]]*0.93</f>
        <v>88565.760000000009</v>
      </c>
      <c r="T30" s="4">
        <v>95232</v>
      </c>
    </row>
    <row r="31" spans="1:20" ht="40.5" x14ac:dyDescent="0.25">
      <c r="A31" s="47" t="s">
        <v>352</v>
      </c>
      <c r="B31" s="48" t="s">
        <v>351</v>
      </c>
      <c r="C31" s="36">
        <f>+Tabla14[[#This Row],[PRECIO SUGERIDO INSTALADOR2]]</f>
        <v>223958</v>
      </c>
      <c r="D31" s="36">
        <f>+Tabla14[[#This Row],[PRECIO  INSTALADOR
( CON  IVA)]]-Tabla14[[#This Row],[Columna1]]</f>
        <v>212760.1</v>
      </c>
      <c r="E31" s="36">
        <f>+Tabla14[[#This Row],[DPP ORO2]]</f>
        <v>208280.94</v>
      </c>
      <c r="F31" s="36">
        <f>+Tabla14[[#This Row],[Columna4]]</f>
        <v>206198.1306</v>
      </c>
      <c r="G31" s="36">
        <f>+Tabla14[[#This Row],[PRECIO  INSTALADOR
( CON  IVA)]]/0.7</f>
        <v>319940</v>
      </c>
      <c r="H31" s="35">
        <f>+Tabla14[[#This Row],[PRECIO SUGERIDO INSTALADOR2]]*5%</f>
        <v>11197.900000000001</v>
      </c>
      <c r="I31" s="29">
        <f t="shared" si="0"/>
        <v>46.176907216494847</v>
      </c>
      <c r="J31" s="29">
        <f t="shared" si="1"/>
        <v>42.94452371134021</v>
      </c>
      <c r="K31" s="34">
        <f t="shared" si="2"/>
        <v>42.515078474226804</v>
      </c>
      <c r="L31" s="34">
        <f t="shared" si="3"/>
        <v>42.515078474226804</v>
      </c>
      <c r="M31" s="34">
        <f t="shared" si="4"/>
        <v>206198.1306</v>
      </c>
      <c r="N31" s="33">
        <f t="shared" si="5"/>
        <v>2082.8094000000001</v>
      </c>
      <c r="O31" s="4">
        <f t="shared" si="6"/>
        <v>42.94452371134021</v>
      </c>
      <c r="P31" s="32">
        <f>Tabla14[[#This Row],[ORO SIN IVA]]*1.19</f>
        <v>208280.94</v>
      </c>
      <c r="Q31" s="31">
        <f t="shared" si="7"/>
        <v>46.176907216494847</v>
      </c>
      <c r="R31" s="45">
        <f>Tabla14[[#This Row],[INSTALLER SIN IVA]]*1.19</f>
        <v>223958</v>
      </c>
      <c r="S31" s="39">
        <f>Tabla14[[#This Row],[INSTALLER SIN IVA]]*0.93</f>
        <v>175026</v>
      </c>
      <c r="T31" s="4">
        <v>188200</v>
      </c>
    </row>
    <row r="32" spans="1:20" ht="27" x14ac:dyDescent="0.25">
      <c r="A32" s="47" t="s">
        <v>350</v>
      </c>
      <c r="B32" s="48" t="s">
        <v>349</v>
      </c>
      <c r="C32" s="36">
        <f>+Tabla14[[#This Row],[PRECIO SUGERIDO INSTALADOR2]]</f>
        <v>98496.299999999988</v>
      </c>
      <c r="D32" s="36">
        <f>+Tabla14[[#This Row],[PRECIO  INSTALADOR
( CON  IVA)]]-Tabla14[[#This Row],[Columna1]]</f>
        <v>93571.484999999986</v>
      </c>
      <c r="E32" s="36">
        <f>+Tabla14[[#This Row],[DPP ORO2]]</f>
        <v>83998.53</v>
      </c>
      <c r="F32" s="36">
        <f>+Tabla14[[#This Row],[Columna4]]</f>
        <v>83158.544699999999</v>
      </c>
      <c r="G32" s="36">
        <f>+Tabla14[[#This Row],[PRECIO  INSTALADOR
( CON  IVA)]]/0.7</f>
        <v>140709</v>
      </c>
      <c r="H32" s="35">
        <f>+Tabla14[[#This Row],[PRECIO SUGERIDO INSTALADOR2]]*5%</f>
        <v>4924.8149999999996</v>
      </c>
      <c r="I32" s="29">
        <f t="shared" si="0"/>
        <v>20.308515463917523</v>
      </c>
      <c r="J32" s="29">
        <f t="shared" si="1"/>
        <v>17.319284536082474</v>
      </c>
      <c r="K32" s="34">
        <f t="shared" si="2"/>
        <v>17.146091690721651</v>
      </c>
      <c r="L32" s="34">
        <f t="shared" si="3"/>
        <v>17.146091690721651</v>
      </c>
      <c r="M32" s="34">
        <f t="shared" si="4"/>
        <v>83158.544699999999</v>
      </c>
      <c r="N32" s="33">
        <f t="shared" si="5"/>
        <v>839.98530000000005</v>
      </c>
      <c r="O32" s="4">
        <f t="shared" si="6"/>
        <v>17.319284536082474</v>
      </c>
      <c r="P32" s="32">
        <f>Tabla14[[#This Row],[ORO SIN IVA]]*1.19</f>
        <v>83998.53</v>
      </c>
      <c r="Q32" s="31">
        <f t="shared" si="7"/>
        <v>20.308515463917523</v>
      </c>
      <c r="R32" s="45">
        <f>Tabla14[[#This Row],[INSTALLER SIN IVA]]*1.19</f>
        <v>98496.299999999988</v>
      </c>
      <c r="S32" s="39">
        <v>70587</v>
      </c>
      <c r="T32" s="4">
        <v>82770</v>
      </c>
    </row>
    <row r="33" spans="1:20" ht="27" x14ac:dyDescent="0.25">
      <c r="A33" s="38" t="s">
        <v>348</v>
      </c>
      <c r="B33" s="37" t="s">
        <v>347</v>
      </c>
      <c r="C33" s="36">
        <f>+Tabla14[[#This Row],[PRECIO SUGERIDO INSTALADOR2]]</f>
        <v>83833.119999999995</v>
      </c>
      <c r="D33" s="36">
        <f>+Tabla14[[#This Row],[PRECIO  INSTALADOR
( CON  IVA)]]-Tabla14[[#This Row],[Columna1]]</f>
        <v>79641.463999999993</v>
      </c>
      <c r="E33" s="36">
        <f>+Tabla14[[#This Row],[DPP ORO2]]</f>
        <v>71438.080000000002</v>
      </c>
      <c r="F33" s="36">
        <f>+Tabla14[[#This Row],[Columna4]]</f>
        <v>70723.699200000003</v>
      </c>
      <c r="G33" s="36">
        <f>+Tabla14[[#This Row],[PRECIO  INSTALADOR
( CON  IVA)]]/0.7</f>
        <v>119761.60000000001</v>
      </c>
      <c r="H33" s="35">
        <f>+Tabla14[[#This Row],[PRECIO SUGERIDO INSTALADOR2]]*5%</f>
        <v>4191.6559999999999</v>
      </c>
      <c r="I33" s="29">
        <f t="shared" si="0"/>
        <v>17.285179381443299</v>
      </c>
      <c r="J33" s="29">
        <f t="shared" si="1"/>
        <v>14.729501030927835</v>
      </c>
      <c r="K33" s="34">
        <f t="shared" si="2"/>
        <v>14.582206020618557</v>
      </c>
      <c r="L33" s="34">
        <f t="shared" si="3"/>
        <v>14.582206020618557</v>
      </c>
      <c r="M33" s="34">
        <f t="shared" si="4"/>
        <v>70723.699200000003</v>
      </c>
      <c r="N33" s="33">
        <f t="shared" si="5"/>
        <v>714.38080000000002</v>
      </c>
      <c r="O33" s="4">
        <f t="shared" si="6"/>
        <v>14.729501030927835</v>
      </c>
      <c r="P33" s="32">
        <f>Tabla14[[#This Row],[ORO SIN IVA]]*1.19</f>
        <v>71438.080000000002</v>
      </c>
      <c r="Q33" s="31">
        <f t="shared" si="7"/>
        <v>17.285179381443299</v>
      </c>
      <c r="R33" s="45">
        <f>Tabla14[[#This Row],[INSTALLER SIN IVA]]*1.19</f>
        <v>83833.119999999995</v>
      </c>
      <c r="S33" s="39">
        <v>60032</v>
      </c>
      <c r="T33" s="4">
        <v>70448</v>
      </c>
    </row>
    <row r="34" spans="1:20" ht="27" x14ac:dyDescent="0.25">
      <c r="A34" s="38" t="s">
        <v>346</v>
      </c>
      <c r="B34" s="37" t="s">
        <v>345</v>
      </c>
      <c r="C34" s="36">
        <f>+Tabla14[[#This Row],[PRECIO SUGERIDO INSTALADOR2]]</f>
        <v>132361.32</v>
      </c>
      <c r="D34" s="36">
        <f>+Tabla14[[#This Row],[PRECIO  INSTALADOR
( CON  IVA)]]-Tabla14[[#This Row],[Columna1]]</f>
        <v>125743.254</v>
      </c>
      <c r="E34" s="36">
        <f>+Tabla14[[#This Row],[DPP ORO2]]</f>
        <v>112828.65999999999</v>
      </c>
      <c r="F34" s="36">
        <f>+Tabla14[[#This Row],[Columna4]]</f>
        <v>111700.37339999998</v>
      </c>
      <c r="G34" s="36">
        <f>+Tabla14[[#This Row],[PRECIO  INSTALADOR
( CON  IVA)]]/0.7</f>
        <v>189087.60000000003</v>
      </c>
      <c r="H34" s="35">
        <f>+Tabla14[[#This Row],[PRECIO SUGERIDO INSTALADOR2]]*5%</f>
        <v>6618.0660000000007</v>
      </c>
      <c r="I34" s="29">
        <f t="shared" si="0"/>
        <v>27.290993814432991</v>
      </c>
      <c r="J34" s="29">
        <f t="shared" si="1"/>
        <v>23.263641237113401</v>
      </c>
      <c r="K34" s="34">
        <f t="shared" si="2"/>
        <v>23.031004824742265</v>
      </c>
      <c r="L34" s="34">
        <f t="shared" si="3"/>
        <v>23.031004824742265</v>
      </c>
      <c r="M34" s="34">
        <f t="shared" si="4"/>
        <v>111700.37339999998</v>
      </c>
      <c r="N34" s="33">
        <f t="shared" si="5"/>
        <v>1128.2865999999999</v>
      </c>
      <c r="O34" s="4">
        <f t="shared" si="6"/>
        <v>23.263641237113401</v>
      </c>
      <c r="P34" s="32">
        <f>Tabla14[[#This Row],[ORO SIN IVA]]*1.19</f>
        <v>112828.65999999999</v>
      </c>
      <c r="Q34" s="31">
        <f t="shared" si="7"/>
        <v>27.290993814432991</v>
      </c>
      <c r="R34" s="45">
        <f>Tabla14[[#This Row],[INSTALLER SIN IVA]]*1.19</f>
        <v>132361.32</v>
      </c>
      <c r="S34" s="39">
        <v>94814</v>
      </c>
      <c r="T34" s="4">
        <v>111228</v>
      </c>
    </row>
    <row r="35" spans="1:20" ht="40.5" x14ac:dyDescent="0.25">
      <c r="A35" s="38" t="s">
        <v>344</v>
      </c>
      <c r="B35" s="37" t="s">
        <v>343</v>
      </c>
      <c r="C35" s="36">
        <f>+Tabla14[[#This Row],[PRECIO SUGERIDO INSTALADOR2]]</f>
        <v>121018.23999999999</v>
      </c>
      <c r="D35" s="36">
        <f>+Tabla14[[#This Row],[PRECIO  INSTALADOR
( CON  IVA)]]-Tabla14[[#This Row],[Columna1]]</f>
        <v>114967.32799999999</v>
      </c>
      <c r="E35" s="36">
        <f>+Tabla14[[#This Row],[DPP ORO2]]</f>
        <v>112546.9632</v>
      </c>
      <c r="F35" s="36">
        <f>+Tabla14[[#This Row],[Columna4]]</f>
        <v>111421.49356800001</v>
      </c>
      <c r="G35" s="36">
        <f>+Tabla14[[#This Row],[PRECIO  INSTALADOR
( CON  IVA)]]/0.7</f>
        <v>172883.20000000001</v>
      </c>
      <c r="H35" s="35">
        <f>+Tabla14[[#This Row],[PRECIO SUGERIDO INSTALADOR2]]*5%</f>
        <v>6050.9120000000003</v>
      </c>
      <c r="I35" s="29">
        <f t="shared" si="0"/>
        <v>24.952214432989688</v>
      </c>
      <c r="J35" s="29">
        <f t="shared" si="1"/>
        <v>23.205559422680412</v>
      </c>
      <c r="K35" s="34">
        <f t="shared" si="2"/>
        <v>22.973503828453609</v>
      </c>
      <c r="L35" s="34">
        <f t="shared" si="3"/>
        <v>22.973503828453609</v>
      </c>
      <c r="M35" s="34">
        <f t="shared" si="4"/>
        <v>111421.49356800001</v>
      </c>
      <c r="N35" s="33">
        <f t="shared" si="5"/>
        <v>1125.469632</v>
      </c>
      <c r="O35" s="4">
        <f t="shared" si="6"/>
        <v>23.205559422680412</v>
      </c>
      <c r="P35" s="32">
        <f>Tabla14[[#This Row],[ORO SIN IVA]]*1.19</f>
        <v>112546.9632</v>
      </c>
      <c r="Q35" s="31">
        <f t="shared" si="7"/>
        <v>24.952214432989688</v>
      </c>
      <c r="R35" s="45">
        <f>Tabla14[[#This Row],[INSTALLER SIN IVA]]*1.19</f>
        <v>121018.23999999999</v>
      </c>
      <c r="S35" s="39">
        <f>Tabla14[[#This Row],[INSTALLER SIN IVA]]*0.93</f>
        <v>94577.279999999999</v>
      </c>
      <c r="T35" s="4">
        <v>101696</v>
      </c>
    </row>
    <row r="36" spans="1:20" ht="27" x14ac:dyDescent="0.25">
      <c r="A36" s="38" t="s">
        <v>342</v>
      </c>
      <c r="B36" s="37" t="s">
        <v>341</v>
      </c>
      <c r="C36" s="36">
        <f>+Tabla14[[#This Row],[PRECIO SUGERIDO INSTALADOR2]]</f>
        <v>132527.91999999998</v>
      </c>
      <c r="D36" s="36">
        <f>+Tabla14[[#This Row],[PRECIO  INSTALADOR
( CON  IVA)]]-Tabla14[[#This Row],[Columna1]]</f>
        <v>125901.52399999999</v>
      </c>
      <c r="E36" s="36">
        <f>+Tabla14[[#This Row],[DPP ORO2]]</f>
        <v>123250.9656</v>
      </c>
      <c r="F36" s="36">
        <f>+Tabla14[[#This Row],[Columna4]]</f>
        <v>122018.455944</v>
      </c>
      <c r="G36" s="36">
        <f>+Tabla14[[#This Row],[PRECIO  INSTALADOR
( CON  IVA)]]/0.7</f>
        <v>189325.59999999998</v>
      </c>
      <c r="H36" s="35">
        <f>+Tabla14[[#This Row],[PRECIO SUGERIDO INSTALADOR2]]*5%</f>
        <v>6626.3959999999997</v>
      </c>
      <c r="I36" s="29">
        <f t="shared" si="0"/>
        <v>27.325344329896904</v>
      </c>
      <c r="J36" s="29">
        <f t="shared" si="1"/>
        <v>25.412570226804124</v>
      </c>
      <c r="K36" s="34">
        <f t="shared" si="2"/>
        <v>25.158444524536083</v>
      </c>
      <c r="L36" s="34">
        <f t="shared" si="3"/>
        <v>25.158444524536083</v>
      </c>
      <c r="M36" s="34">
        <f t="shared" si="4"/>
        <v>122018.455944</v>
      </c>
      <c r="N36" s="33">
        <f t="shared" si="5"/>
        <v>1232.5096559999999</v>
      </c>
      <c r="O36" s="4">
        <f t="shared" si="6"/>
        <v>25.412570226804124</v>
      </c>
      <c r="P36" s="32">
        <f>Tabla14[[#This Row],[ORO SIN IVA]]*1.19</f>
        <v>123250.9656</v>
      </c>
      <c r="Q36" s="31">
        <f t="shared" si="7"/>
        <v>27.325344329896904</v>
      </c>
      <c r="R36" s="45">
        <f>Tabla14[[#This Row],[INSTALLER SIN IVA]]*1.19</f>
        <v>132527.91999999998</v>
      </c>
      <c r="S36" s="39">
        <f>Tabla14[[#This Row],[INSTALLER SIN IVA]]*0.93</f>
        <v>103572.24</v>
      </c>
      <c r="T36" s="4">
        <v>111368</v>
      </c>
    </row>
    <row r="37" spans="1:20" ht="27" x14ac:dyDescent="0.25">
      <c r="A37" s="38" t="s">
        <v>340</v>
      </c>
      <c r="B37" s="37" t="s">
        <v>339</v>
      </c>
      <c r="C37" s="36">
        <f>+Tabla14[[#This Row],[PRECIO SUGERIDO INSTALADOR2]]</f>
        <v>145586.97999999998</v>
      </c>
      <c r="D37" s="36">
        <f>+Tabla14[[#This Row],[PRECIO  INSTALADOR
( CON  IVA)]]-Tabla14[[#This Row],[Columna1]]</f>
        <v>138307.63099999999</v>
      </c>
      <c r="E37" s="36">
        <f>+Tabla14[[#This Row],[DPP ORO2]]</f>
        <v>124117</v>
      </c>
      <c r="F37" s="36">
        <f>+Tabla14[[#This Row],[Columna4]]</f>
        <v>122875.83</v>
      </c>
      <c r="G37" s="36">
        <f>+Tabla14[[#This Row],[PRECIO  INSTALADOR
( CON  IVA)]]/0.7</f>
        <v>207981.4</v>
      </c>
      <c r="H37" s="35">
        <f>+Tabla14[[#This Row],[PRECIO SUGERIDO INSTALADOR2]]*5%</f>
        <v>7279.3489999999993</v>
      </c>
      <c r="I37" s="29">
        <f t="shared" si="0"/>
        <v>30.017934020618554</v>
      </c>
      <c r="J37" s="29">
        <f t="shared" si="1"/>
        <v>25.591134020618558</v>
      </c>
      <c r="K37" s="34">
        <f t="shared" si="2"/>
        <v>25.335222680412372</v>
      </c>
      <c r="L37" s="34">
        <f t="shared" si="3"/>
        <v>25.335222680412372</v>
      </c>
      <c r="M37" s="34">
        <f t="shared" si="4"/>
        <v>122875.83</v>
      </c>
      <c r="N37" s="33">
        <f t="shared" si="5"/>
        <v>1241.17</v>
      </c>
      <c r="O37" s="4">
        <f t="shared" si="6"/>
        <v>25.591134020618558</v>
      </c>
      <c r="P37" s="32">
        <f>Tabla14[[#This Row],[ORO SIN IVA]]*1.19</f>
        <v>124117</v>
      </c>
      <c r="Q37" s="31">
        <f t="shared" si="7"/>
        <v>30.017934020618554</v>
      </c>
      <c r="R37" s="45">
        <f>Tabla14[[#This Row],[INSTALLER SIN IVA]]*1.19</f>
        <v>145586.97999999998</v>
      </c>
      <c r="S37" s="39">
        <v>104300</v>
      </c>
      <c r="T37" s="4">
        <v>122342</v>
      </c>
    </row>
    <row r="38" spans="1:20" ht="27" x14ac:dyDescent="0.25">
      <c r="A38" s="38" t="s">
        <v>338</v>
      </c>
      <c r="B38" s="37" t="s">
        <v>337</v>
      </c>
      <c r="C38" s="36">
        <f>+Tabla14[[#This Row],[PRECIO SUGERIDO INSTALADOR2]]</f>
        <v>297812.96999999997</v>
      </c>
      <c r="D38" s="36">
        <f>+Tabla14[[#This Row],[PRECIO  INSTALADOR
( CON  IVA)]]-Tabla14[[#This Row],[Columna1]]</f>
        <v>282922.32149999996</v>
      </c>
      <c r="E38" s="36">
        <f>+Tabla14[[#This Row],[DPP ORO2]]</f>
        <v>253876.97999999998</v>
      </c>
      <c r="F38" s="36">
        <f>+Tabla14[[#This Row],[Columna4]]</f>
        <v>251338.21019999997</v>
      </c>
      <c r="G38" s="36">
        <f>+Tabla14[[#This Row],[PRECIO  INSTALADOR
( CON  IVA)]]/0.7</f>
        <v>425447.1</v>
      </c>
      <c r="H38" s="35">
        <f>+Tabla14[[#This Row],[PRECIO SUGERIDO INSTALADOR2]]*5%</f>
        <v>14890.648499999999</v>
      </c>
      <c r="I38" s="29">
        <f t="shared" si="0"/>
        <v>61.404736082474223</v>
      </c>
      <c r="J38" s="29">
        <f t="shared" si="1"/>
        <v>52.345769072164941</v>
      </c>
      <c r="K38" s="34">
        <f t="shared" si="2"/>
        <v>51.822311381443292</v>
      </c>
      <c r="L38" s="34">
        <f t="shared" si="3"/>
        <v>51.822311381443292</v>
      </c>
      <c r="M38" s="34">
        <f t="shared" si="4"/>
        <v>251338.21019999997</v>
      </c>
      <c r="N38" s="33">
        <f t="shared" si="5"/>
        <v>2538.7698</v>
      </c>
      <c r="O38" s="4">
        <f t="shared" si="6"/>
        <v>52.345769072164941</v>
      </c>
      <c r="P38" s="32">
        <f>Tabla14[[#This Row],[ORO SIN IVA]]*1.19</f>
        <v>253876.97999999998</v>
      </c>
      <c r="Q38" s="31">
        <f t="shared" si="7"/>
        <v>61.404736082474223</v>
      </c>
      <c r="R38" s="45">
        <f>Tabla14[[#This Row],[INSTALLER SIN IVA]]*1.19</f>
        <v>297812.96999999997</v>
      </c>
      <c r="S38" s="39">
        <v>213342</v>
      </c>
      <c r="T38" s="4">
        <v>250263</v>
      </c>
    </row>
    <row r="39" spans="1:20" ht="27" x14ac:dyDescent="0.25">
      <c r="A39" s="38" t="s">
        <v>336</v>
      </c>
      <c r="B39" s="37" t="s">
        <v>335</v>
      </c>
      <c r="C39" s="36">
        <f>+Tabla14[[#This Row],[PRECIO SUGERIDO INSTALADOR2]]</f>
        <v>163127.57999999999</v>
      </c>
      <c r="D39" s="36">
        <f>+Tabla14[[#This Row],[PRECIO  INSTALADOR
( CON  IVA)]]-Tabla14[[#This Row],[Columna1]]</f>
        <v>154971.201</v>
      </c>
      <c r="E39" s="36">
        <f>+Tabla14[[#This Row],[DPP ORO2]]</f>
        <v>148851.15</v>
      </c>
      <c r="F39" s="36">
        <f>+Tabla14[[#This Row],[Columna4]]</f>
        <v>147362.6385</v>
      </c>
      <c r="G39" s="36">
        <f>+Tabla14[[#This Row],[PRECIO  INSTALADOR
( CON  IVA)]]/0.7</f>
        <v>233039.4</v>
      </c>
      <c r="H39" s="35">
        <f>+Tabla14[[#This Row],[PRECIO SUGERIDO INSTALADOR2]]*5%</f>
        <v>8156.3789999999999</v>
      </c>
      <c r="I39" s="29">
        <f t="shared" si="0"/>
        <v>33.634552577319582</v>
      </c>
      <c r="J39" s="29">
        <f t="shared" si="1"/>
        <v>30.690958762886595</v>
      </c>
      <c r="K39" s="34">
        <f t="shared" si="2"/>
        <v>30.384049175257733</v>
      </c>
      <c r="L39" s="34">
        <f t="shared" si="3"/>
        <v>30.384049175257733</v>
      </c>
      <c r="M39" s="34">
        <f t="shared" si="4"/>
        <v>147362.6385</v>
      </c>
      <c r="N39" s="33">
        <f t="shared" si="5"/>
        <v>1488.5115000000001</v>
      </c>
      <c r="O39" s="4">
        <f t="shared" si="6"/>
        <v>30.690958762886595</v>
      </c>
      <c r="P39" s="32">
        <f>Tabla14[[#This Row],[ORO SIN IVA]]*1.19</f>
        <v>148851.15</v>
      </c>
      <c r="Q39" s="31">
        <f t="shared" si="7"/>
        <v>33.634552577319582</v>
      </c>
      <c r="R39" s="45">
        <f>Tabla14[[#This Row],[INSTALLER SIN IVA]]*1.19</f>
        <v>163127.57999999999</v>
      </c>
      <c r="S39" s="39">
        <v>125085</v>
      </c>
      <c r="T39" s="4">
        <v>137082</v>
      </c>
    </row>
    <row r="40" spans="1:20" ht="27" x14ac:dyDescent="0.25">
      <c r="A40" s="38" t="s">
        <v>334</v>
      </c>
      <c r="B40" s="37" t="s">
        <v>333</v>
      </c>
      <c r="C40" s="36">
        <f>+Tabla14[[#This Row],[PRECIO SUGERIDO INSTALADOR2]]</f>
        <v>209608.97999999998</v>
      </c>
      <c r="D40" s="36">
        <f>+Tabla14[[#This Row],[PRECIO  INSTALADOR
( CON  IVA)]]-Tabla14[[#This Row],[Columna1]]</f>
        <v>199128.53099999999</v>
      </c>
      <c r="E40" s="36">
        <f>+Tabla14[[#This Row],[DPP ORO2]]</f>
        <v>191237.75999999998</v>
      </c>
      <c r="F40" s="36">
        <f>+Tabla14[[#This Row],[Columna4]]</f>
        <v>189325.38239999997</v>
      </c>
      <c r="G40" s="36">
        <f>+Tabla14[[#This Row],[PRECIO  INSTALADOR
( CON  IVA)]]/0.7</f>
        <v>299441.39999999997</v>
      </c>
      <c r="H40" s="35">
        <f>+Tabla14[[#This Row],[PRECIO SUGERIDO INSTALADOR2]]*5%</f>
        <v>10480.449000000001</v>
      </c>
      <c r="I40" s="29">
        <f t="shared" si="0"/>
        <v>43.218346391752576</v>
      </c>
      <c r="J40" s="29">
        <f t="shared" si="1"/>
        <v>39.430465979381438</v>
      </c>
      <c r="K40" s="34">
        <f t="shared" si="2"/>
        <v>39.03616131958762</v>
      </c>
      <c r="L40" s="34">
        <f t="shared" si="3"/>
        <v>39.03616131958762</v>
      </c>
      <c r="M40" s="34">
        <f t="shared" si="4"/>
        <v>189325.38239999997</v>
      </c>
      <c r="N40" s="33">
        <f t="shared" si="5"/>
        <v>1912.3775999999998</v>
      </c>
      <c r="O40" s="4">
        <f t="shared" si="6"/>
        <v>39.430465979381438</v>
      </c>
      <c r="P40" s="32">
        <f>Tabla14[[#This Row],[ORO SIN IVA]]*1.19</f>
        <v>191237.75999999998</v>
      </c>
      <c r="Q40" s="31">
        <f t="shared" si="7"/>
        <v>43.218346391752576</v>
      </c>
      <c r="R40" s="45">
        <f>Tabla14[[#This Row],[INSTALLER SIN IVA]]*1.19</f>
        <v>209608.97999999998</v>
      </c>
      <c r="S40" s="39">
        <v>160704</v>
      </c>
      <c r="T40" s="4">
        <v>176142</v>
      </c>
    </row>
    <row r="41" spans="1:20" ht="27" x14ac:dyDescent="0.25">
      <c r="A41" s="38" t="s">
        <v>332</v>
      </c>
      <c r="B41" s="37" t="s">
        <v>331</v>
      </c>
      <c r="C41" s="36">
        <f>+Tabla14[[#This Row],[PRECIO SUGERIDO INSTALADOR2]]</f>
        <v>390942.37</v>
      </c>
      <c r="D41" s="36">
        <f>+Tabla14[[#This Row],[PRECIO  INSTALADOR
( CON  IVA)]]-Tabla14[[#This Row],[Columna1]]</f>
        <v>371395.25150000001</v>
      </c>
      <c r="E41" s="36">
        <f>+Tabla14[[#This Row],[DPP ORO2]]</f>
        <v>363576.40409999999</v>
      </c>
      <c r="F41" s="36">
        <f>+Tabla14[[#This Row],[Columna4]]</f>
        <v>359940.640059</v>
      </c>
      <c r="G41" s="36">
        <f>+Tabla14[[#This Row],[PRECIO  INSTALADOR
( CON  IVA)]]/0.7</f>
        <v>558489.1</v>
      </c>
      <c r="H41" s="35">
        <f>+Tabla14[[#This Row],[PRECIO SUGERIDO INSTALADOR2]]*5%</f>
        <v>19547.1185</v>
      </c>
      <c r="I41" s="29">
        <f t="shared" si="0"/>
        <v>80.606674226804117</v>
      </c>
      <c r="J41" s="29">
        <f t="shared" si="1"/>
        <v>74.964207030927838</v>
      </c>
      <c r="K41" s="34">
        <f t="shared" si="2"/>
        <v>74.21456496061856</v>
      </c>
      <c r="L41" s="34">
        <f t="shared" si="3"/>
        <v>74.21456496061856</v>
      </c>
      <c r="M41" s="34">
        <f t="shared" si="4"/>
        <v>359940.640059</v>
      </c>
      <c r="N41" s="33">
        <f t="shared" si="5"/>
        <v>3635.7640409999999</v>
      </c>
      <c r="O41" s="4">
        <f t="shared" si="6"/>
        <v>74.964207030927838</v>
      </c>
      <c r="P41" s="32">
        <f>Tabla14[[#This Row],[ORO SIN IVA]]*1.19</f>
        <v>363576.40409999999</v>
      </c>
      <c r="Q41" s="31">
        <f t="shared" si="7"/>
        <v>80.606674226804117</v>
      </c>
      <c r="R41" s="45">
        <f>Tabla14[[#This Row],[INSTALLER SIN IVA]]*1.19</f>
        <v>390942.37</v>
      </c>
      <c r="S41" s="39">
        <f>Tabla14[[#This Row],[INSTALLER SIN IVA]]*0.93</f>
        <v>305526.39</v>
      </c>
      <c r="T41" s="4">
        <v>328523</v>
      </c>
    </row>
    <row r="42" spans="1:20" ht="94.5" x14ac:dyDescent="0.25">
      <c r="A42" s="38" t="s">
        <v>330</v>
      </c>
      <c r="B42" s="37" t="s">
        <v>329</v>
      </c>
      <c r="C42" s="36">
        <f>+Tabla14[[#This Row],[PRECIO SUGERIDO INSTALADOR2]]</f>
        <v>172866.53999999998</v>
      </c>
      <c r="D42" s="36">
        <f>+Tabla14[[#This Row],[PRECIO  INSTALADOR
( CON  IVA)]]-Tabla14[[#This Row],[Columna1]]</f>
        <v>164223.21299999999</v>
      </c>
      <c r="E42" s="36">
        <f>+Tabla14[[#This Row],[DPP ORO2]]</f>
        <v>158950.68</v>
      </c>
      <c r="F42" s="36">
        <f>+Tabla14[[#This Row],[Columna4]]</f>
        <v>157361.17319999999</v>
      </c>
      <c r="G42" s="36">
        <f>+Tabla14[[#This Row],[PRECIO  INSTALADOR
( CON  IVA)]]/0.7</f>
        <v>246952.19999999998</v>
      </c>
      <c r="H42" s="35">
        <f>+Tabla14[[#This Row],[PRECIO SUGERIDO INSTALADOR2]]*5%</f>
        <v>8643.3269999999993</v>
      </c>
      <c r="I42" s="29">
        <f t="shared" si="0"/>
        <v>35.642585567010308</v>
      </c>
      <c r="J42" s="29">
        <f t="shared" si="1"/>
        <v>32.773336082474223</v>
      </c>
      <c r="K42" s="34">
        <f t="shared" si="2"/>
        <v>32.445602721649486</v>
      </c>
      <c r="L42" s="34">
        <f t="shared" si="3"/>
        <v>32.445602721649486</v>
      </c>
      <c r="M42" s="34">
        <f t="shared" si="4"/>
        <v>157361.17319999999</v>
      </c>
      <c r="N42" s="33">
        <f t="shared" si="5"/>
        <v>1589.5067999999999</v>
      </c>
      <c r="O42" s="4">
        <f t="shared" si="6"/>
        <v>32.773336082474223</v>
      </c>
      <c r="P42" s="32">
        <f>Tabla14[[#This Row],[ORO SIN IVA]]*1.19</f>
        <v>158950.68</v>
      </c>
      <c r="Q42" s="31">
        <f t="shared" si="7"/>
        <v>35.642585567010308</v>
      </c>
      <c r="R42" s="45">
        <f>Tabla14[[#This Row],[INSTALLER SIN IVA]]*1.19</f>
        <v>172866.53999999998</v>
      </c>
      <c r="S42" s="39">
        <v>133572</v>
      </c>
      <c r="T42" s="4">
        <v>145266</v>
      </c>
    </row>
    <row r="43" spans="1:20" ht="27" x14ac:dyDescent="0.25">
      <c r="A43" s="38" t="s">
        <v>328</v>
      </c>
      <c r="B43" s="37" t="s">
        <v>327</v>
      </c>
      <c r="C43" s="36">
        <f>+Tabla14[[#This Row],[PRECIO SUGERIDO INSTALADOR2]]</f>
        <v>226652.16</v>
      </c>
      <c r="D43" s="36">
        <f>+Tabla14[[#This Row],[PRECIO  INSTALADOR
( CON  IVA)]]-Tabla14[[#This Row],[Columna1]]</f>
        <v>215319.552</v>
      </c>
      <c r="E43" s="36">
        <f>+Tabla14[[#This Row],[DPP ORO2]]</f>
        <v>206842.22999999998</v>
      </c>
      <c r="F43" s="36">
        <f>+Tabla14[[#This Row],[Columna4]]</f>
        <v>204773.80769999998</v>
      </c>
      <c r="G43" s="36">
        <f>+Tabla14[[#This Row],[PRECIO  INSTALADOR
( CON  IVA)]]/0.7</f>
        <v>323788.80000000005</v>
      </c>
      <c r="H43" s="35">
        <f>+Tabla14[[#This Row],[PRECIO SUGERIDO INSTALADOR2]]*5%</f>
        <v>11332.608</v>
      </c>
      <c r="I43" s="29">
        <f t="shared" si="0"/>
        <v>46.732404123711341</v>
      </c>
      <c r="J43" s="29">
        <f t="shared" si="1"/>
        <v>42.647882474226797</v>
      </c>
      <c r="K43" s="34">
        <f t="shared" si="2"/>
        <v>42.221403649484529</v>
      </c>
      <c r="L43" s="34">
        <f t="shared" si="3"/>
        <v>42.221403649484529</v>
      </c>
      <c r="M43" s="34">
        <f t="shared" si="4"/>
        <v>204773.80769999998</v>
      </c>
      <c r="N43" s="33">
        <f t="shared" si="5"/>
        <v>2068.4222999999997</v>
      </c>
      <c r="O43" s="4">
        <f t="shared" si="6"/>
        <v>42.647882474226797</v>
      </c>
      <c r="P43" s="32">
        <f>Tabla14[[#This Row],[ORO SIN IVA]]*1.19</f>
        <v>206842.22999999998</v>
      </c>
      <c r="Q43" s="31">
        <f t="shared" si="7"/>
        <v>46.732404123711341</v>
      </c>
      <c r="R43" s="45">
        <f>Tabla14[[#This Row],[INSTALLER SIN IVA]]*1.19</f>
        <v>226652.16</v>
      </c>
      <c r="S43" s="39">
        <v>173817</v>
      </c>
      <c r="T43" s="4">
        <v>190464</v>
      </c>
    </row>
    <row r="44" spans="1:20" ht="27" x14ac:dyDescent="0.25">
      <c r="A44" s="38" t="s">
        <v>326</v>
      </c>
      <c r="B44" s="37" t="s">
        <v>325</v>
      </c>
      <c r="C44" s="36">
        <f>+Tabla14[[#This Row],[PRECIO SUGERIDO INSTALADOR2]]</f>
        <v>418720.54</v>
      </c>
      <c r="D44" s="36">
        <f>+Tabla14[[#This Row],[PRECIO  INSTALADOR
( CON  IVA)]]-Tabla14[[#This Row],[Columna1]]</f>
        <v>397784.51299999998</v>
      </c>
      <c r="E44" s="36">
        <f>+Tabla14[[#This Row],[DPP ORO2]]</f>
        <v>382143.51</v>
      </c>
      <c r="F44" s="36">
        <f>+Tabla14[[#This Row],[Columna4]]</f>
        <v>378322.07490000001</v>
      </c>
      <c r="G44" s="36">
        <f>+Tabla14[[#This Row],[PRECIO  INSTALADOR
( CON  IVA)]]/0.7</f>
        <v>598172.19999999995</v>
      </c>
      <c r="H44" s="35">
        <f>+Tabla14[[#This Row],[PRECIO SUGERIDO INSTALADOR2]]*5%</f>
        <v>20936.027000000002</v>
      </c>
      <c r="I44" s="29">
        <f t="shared" si="0"/>
        <v>86.334131958762882</v>
      </c>
      <c r="J44" s="29">
        <f t="shared" si="1"/>
        <v>78.792476288659799</v>
      </c>
      <c r="K44" s="34">
        <f t="shared" si="2"/>
        <v>78.004551525773195</v>
      </c>
      <c r="L44" s="34">
        <f t="shared" si="3"/>
        <v>78.004551525773195</v>
      </c>
      <c r="M44" s="34">
        <f t="shared" si="4"/>
        <v>378322.07490000001</v>
      </c>
      <c r="N44" s="33">
        <f t="shared" si="5"/>
        <v>3821.4351000000001</v>
      </c>
      <c r="O44" s="4">
        <f t="shared" si="6"/>
        <v>78.792476288659799</v>
      </c>
      <c r="P44" s="32">
        <f>Tabla14[[#This Row],[ORO SIN IVA]]*1.19</f>
        <v>382143.51</v>
      </c>
      <c r="Q44" s="31">
        <f t="shared" si="7"/>
        <v>86.334131958762882</v>
      </c>
      <c r="R44" s="45">
        <f>Tabla14[[#This Row],[INSTALLER SIN IVA]]*1.19</f>
        <v>418720.54</v>
      </c>
      <c r="S44" s="39">
        <v>321129</v>
      </c>
      <c r="T44" s="4">
        <v>351866</v>
      </c>
    </row>
    <row r="45" spans="1:20" ht="27" x14ac:dyDescent="0.25">
      <c r="A45" s="38" t="s">
        <v>324</v>
      </c>
      <c r="B45" s="37" t="s">
        <v>323</v>
      </c>
      <c r="C45" s="36">
        <f>+Tabla14[[#This Row],[PRECIO SUGERIDO INSTALADOR2]]</f>
        <v>934664.08</v>
      </c>
      <c r="D45" s="36">
        <f>+Tabla14[[#This Row],[PRECIO  INSTALADOR
( CON  IVA)]]-Tabla14[[#This Row],[Columna1]]</f>
        <v>887930.87599999993</v>
      </c>
      <c r="E45" s="36">
        <f>+Tabla14[[#This Row],[DPP ORO2]]</f>
        <v>852878.95</v>
      </c>
      <c r="F45" s="36">
        <f>+Tabla14[[#This Row],[Columna4]]</f>
        <v>844350.1605</v>
      </c>
      <c r="G45" s="36">
        <f>+Tabla14[[#This Row],[PRECIO  INSTALADOR
( CON  IVA)]]/0.7</f>
        <v>1335234.4000000001</v>
      </c>
      <c r="H45" s="35">
        <f>+Tabla14[[#This Row],[PRECIO SUGERIDO INSTALADOR2]]*5%</f>
        <v>46733.203999999998</v>
      </c>
      <c r="I45" s="29">
        <f t="shared" si="0"/>
        <v>192.71424329896905</v>
      </c>
      <c r="J45" s="29">
        <f t="shared" si="1"/>
        <v>175.8513298969072</v>
      </c>
      <c r="K45" s="34">
        <f t="shared" si="2"/>
        <v>174.09281659793814</v>
      </c>
      <c r="L45" s="34">
        <f t="shared" si="3"/>
        <v>174.09281659793814</v>
      </c>
      <c r="M45" s="34">
        <f t="shared" si="4"/>
        <v>844350.1605</v>
      </c>
      <c r="N45" s="33">
        <f t="shared" si="5"/>
        <v>8528.789499999999</v>
      </c>
      <c r="O45" s="4">
        <f t="shared" si="6"/>
        <v>175.8513298969072</v>
      </c>
      <c r="P45" s="32">
        <f>Tabla14[[#This Row],[ORO SIN IVA]]*1.19</f>
        <v>852878.95</v>
      </c>
      <c r="Q45" s="31">
        <f t="shared" si="7"/>
        <v>192.71424329896905</v>
      </c>
      <c r="R45" s="45">
        <f>Tabla14[[#This Row],[INSTALLER SIN IVA]]*1.19</f>
        <v>934664.08</v>
      </c>
      <c r="S45" s="39">
        <v>716705</v>
      </c>
      <c r="T45" s="4">
        <v>785432</v>
      </c>
    </row>
    <row r="46" spans="1:20" ht="40.5" x14ac:dyDescent="0.25">
      <c r="A46" s="38" t="s">
        <v>322</v>
      </c>
      <c r="B46" s="37" t="s">
        <v>321</v>
      </c>
      <c r="C46" s="36">
        <f>+Tabla14[[#This Row],[PRECIO SUGERIDO INSTALADOR2]]</f>
        <v>348982.97</v>
      </c>
      <c r="D46" s="36">
        <f>+Tabla14[[#This Row],[PRECIO  INSTALADOR
( CON  IVA)]]-Tabla14[[#This Row],[Columna1]]</f>
        <v>331533.82149999996</v>
      </c>
      <c r="E46" s="36">
        <f>+Tabla14[[#This Row],[DPP ORO2]]</f>
        <v>348982.97</v>
      </c>
      <c r="F46" s="36">
        <f>+Tabla14[[#This Row],[Columna4]]</f>
        <v>345493.14029999997</v>
      </c>
      <c r="G46" s="36">
        <f>+Tabla14[[#This Row],[PRECIO  INSTALADOR
( CON  IVA)]]/0.7</f>
        <v>498547.1</v>
      </c>
      <c r="H46" s="35">
        <f>+Tabla14[[#This Row],[PRECIO SUGERIDO INSTALADOR2]]*5%</f>
        <v>17449.148499999999</v>
      </c>
      <c r="I46" s="29">
        <f t="shared" si="0"/>
        <v>71.95525154639175</v>
      </c>
      <c r="J46" s="29">
        <f t="shared" si="1"/>
        <v>71.95525154639175</v>
      </c>
      <c r="K46" s="34">
        <f t="shared" si="2"/>
        <v>71.235699030927833</v>
      </c>
      <c r="L46" s="34">
        <f t="shared" si="3"/>
        <v>71.235699030927833</v>
      </c>
      <c r="M46" s="34">
        <f t="shared" si="4"/>
        <v>345493.14029999997</v>
      </c>
      <c r="N46" s="33">
        <f t="shared" si="5"/>
        <v>3489.8296999999998</v>
      </c>
      <c r="O46" s="4">
        <f t="shared" si="6"/>
        <v>71.95525154639175</v>
      </c>
      <c r="P46" s="32">
        <f>Tabla14[[#This Row],[ORO SIN IVA]]*1.19</f>
        <v>348982.97</v>
      </c>
      <c r="Q46" s="31">
        <f t="shared" si="7"/>
        <v>71.95525154639175</v>
      </c>
      <c r="R46" s="45">
        <f>Tabla14[[#This Row],[INSTALLER SIN IVA]]*1.19</f>
        <v>348982.97</v>
      </c>
      <c r="S46" s="57">
        <v>293263</v>
      </c>
      <c r="T46" s="4">
        <v>293263</v>
      </c>
    </row>
    <row r="47" spans="1:20" ht="27" x14ac:dyDescent="0.25">
      <c r="A47" s="38" t="s">
        <v>320</v>
      </c>
      <c r="B47" s="37" t="s">
        <v>319</v>
      </c>
      <c r="C47" s="36">
        <f>+Tabla14[[#This Row],[PRECIO SUGERIDO INSTALADOR2]]</f>
        <v>238161.84</v>
      </c>
      <c r="D47" s="36">
        <f>+Tabla14[[#This Row],[PRECIO  INSTALADOR
( CON  IVA)]]-Tabla14[[#This Row],[Columna1]]</f>
        <v>226253.74799999999</v>
      </c>
      <c r="E47" s="36">
        <f>+Tabla14[[#This Row],[DPP ORO2]]</f>
        <v>217301.13999999998</v>
      </c>
      <c r="F47" s="36">
        <f>+Tabla14[[#This Row],[Columna4]]</f>
        <v>215128.1286</v>
      </c>
      <c r="G47" s="36">
        <f>+Tabla14[[#This Row],[PRECIO  INSTALADOR
( CON  IVA)]]/0.7</f>
        <v>340231.2</v>
      </c>
      <c r="H47" s="35">
        <f>+Tabla14[[#This Row],[PRECIO SUGERIDO INSTALADOR2]]*5%</f>
        <v>11908.092000000001</v>
      </c>
      <c r="I47" s="29">
        <f t="shared" si="0"/>
        <v>49.105534020618556</v>
      </c>
      <c r="J47" s="29">
        <f t="shared" si="1"/>
        <v>44.804358762886594</v>
      </c>
      <c r="K47" s="34">
        <f t="shared" si="2"/>
        <v>44.356315175257734</v>
      </c>
      <c r="L47" s="34">
        <f t="shared" si="3"/>
        <v>44.356315175257734</v>
      </c>
      <c r="M47" s="34">
        <f t="shared" si="4"/>
        <v>215128.1286</v>
      </c>
      <c r="N47" s="33">
        <f t="shared" si="5"/>
        <v>2173.0113999999999</v>
      </c>
      <c r="O47" s="4">
        <f t="shared" si="6"/>
        <v>44.804358762886594</v>
      </c>
      <c r="P47" s="32">
        <f>Tabla14[[#This Row],[ORO SIN IVA]]*1.19</f>
        <v>217301.13999999998</v>
      </c>
      <c r="Q47" s="31">
        <f t="shared" si="7"/>
        <v>49.105534020618556</v>
      </c>
      <c r="R47" s="45">
        <f>Tabla14[[#This Row],[INSTALLER SIN IVA]]*1.19</f>
        <v>238161.84</v>
      </c>
      <c r="S47" s="39">
        <v>182606</v>
      </c>
      <c r="T47" s="4">
        <v>200136</v>
      </c>
    </row>
    <row r="48" spans="1:20" ht="27" x14ac:dyDescent="0.25">
      <c r="A48" s="38" t="s">
        <v>318</v>
      </c>
      <c r="B48" s="37" t="s">
        <v>317</v>
      </c>
      <c r="C48" s="36">
        <f>+Tabla14[[#This Row],[PRECIO SUGERIDO INSTALADOR2]]</f>
        <v>355361.37</v>
      </c>
      <c r="D48" s="36">
        <f>+Tabla14[[#This Row],[PRECIO  INSTALADOR
( CON  IVA)]]-Tabla14[[#This Row],[Columna1]]</f>
        <v>337593.3015</v>
      </c>
      <c r="E48" s="36">
        <f>+Tabla14[[#This Row],[DPP ORO2]]</f>
        <v>324263.09999999998</v>
      </c>
      <c r="F48" s="36">
        <f>+Tabla14[[#This Row],[Columna4]]</f>
        <v>321020.46899999998</v>
      </c>
      <c r="G48" s="36">
        <f>+Tabla14[[#This Row],[PRECIO  INSTALADOR
( CON  IVA)]]/0.7</f>
        <v>507659.10000000003</v>
      </c>
      <c r="H48" s="35">
        <f>+Tabla14[[#This Row],[PRECIO SUGERIDO INSTALADOR2]]*5%</f>
        <v>17768.068500000001</v>
      </c>
      <c r="I48" s="29">
        <f t="shared" si="0"/>
        <v>73.270385567010308</v>
      </c>
      <c r="J48" s="29">
        <f t="shared" si="1"/>
        <v>66.858371134020615</v>
      </c>
      <c r="K48" s="34">
        <f t="shared" si="2"/>
        <v>66.189787422680411</v>
      </c>
      <c r="L48" s="34">
        <f t="shared" si="3"/>
        <v>66.189787422680411</v>
      </c>
      <c r="M48" s="34">
        <f t="shared" si="4"/>
        <v>321020.46899999998</v>
      </c>
      <c r="N48" s="33">
        <f t="shared" si="5"/>
        <v>3242.6309999999999</v>
      </c>
      <c r="O48" s="4">
        <f t="shared" si="6"/>
        <v>66.858371134020615</v>
      </c>
      <c r="P48" s="32">
        <f>Tabla14[[#This Row],[ORO SIN IVA]]*1.19</f>
        <v>324263.09999999998</v>
      </c>
      <c r="Q48" s="31">
        <f t="shared" si="7"/>
        <v>73.270385567010308</v>
      </c>
      <c r="R48" s="45">
        <f>Tabla14[[#This Row],[INSTALLER SIN IVA]]*1.19</f>
        <v>355361.37</v>
      </c>
      <c r="S48" s="49">
        <v>272490</v>
      </c>
      <c r="T48" s="4">
        <v>298623</v>
      </c>
    </row>
    <row r="49" spans="1:20" ht="108" x14ac:dyDescent="0.25">
      <c r="A49" s="38" t="s">
        <v>316</v>
      </c>
      <c r="B49" s="37" t="s">
        <v>315</v>
      </c>
      <c r="C49" s="36">
        <f>+Tabla14[[#This Row],[PRECIO SUGERIDO INSTALADOR2]]</f>
        <v>573326.53</v>
      </c>
      <c r="D49" s="36">
        <f>+Tabla14[[#This Row],[PRECIO  INSTALADOR
( CON  IVA)]]-Tabla14[[#This Row],[Columna1]]</f>
        <v>544660.20350000006</v>
      </c>
      <c r="E49" s="36">
        <f>+Tabla14[[#This Row],[DPP ORO2]]</f>
        <v>523082.35</v>
      </c>
      <c r="F49" s="36">
        <f>+Tabla14[[#This Row],[Columna4]]</f>
        <v>517851.52649999998</v>
      </c>
      <c r="G49" s="36">
        <f>+Tabla14[[#This Row],[PRECIO  INSTALADOR
( CON  IVA)]]/0.7</f>
        <v>819037.90000000014</v>
      </c>
      <c r="H49" s="35">
        <f>+Tabla14[[#This Row],[PRECIO SUGERIDO INSTALADOR2]]*5%</f>
        <v>28666.326500000003</v>
      </c>
      <c r="I49" s="29">
        <f t="shared" si="0"/>
        <v>118.2116556701031</v>
      </c>
      <c r="J49" s="29">
        <f t="shared" si="1"/>
        <v>107.85203092783505</v>
      </c>
      <c r="K49" s="34">
        <f t="shared" si="2"/>
        <v>106.7735106185567</v>
      </c>
      <c r="L49" s="34">
        <f t="shared" si="3"/>
        <v>106.7735106185567</v>
      </c>
      <c r="M49" s="34">
        <f t="shared" si="4"/>
        <v>517851.52649999998</v>
      </c>
      <c r="N49" s="33">
        <f t="shared" si="5"/>
        <v>5230.8234999999995</v>
      </c>
      <c r="O49" s="4">
        <f t="shared" si="6"/>
        <v>107.85203092783505</v>
      </c>
      <c r="P49" s="32">
        <f>Tabla14[[#This Row],[ORO SIN IVA]]*1.19</f>
        <v>523082.35</v>
      </c>
      <c r="Q49" s="31">
        <f t="shared" si="7"/>
        <v>118.2116556701031</v>
      </c>
      <c r="R49" s="45">
        <f>Tabla14[[#This Row],[INSTALLER SIN IVA]]*1.19</f>
        <v>573326.53</v>
      </c>
      <c r="S49" s="39">
        <v>439565</v>
      </c>
      <c r="T49" s="4">
        <v>481787</v>
      </c>
    </row>
    <row r="50" spans="1:20" ht="40.5" x14ac:dyDescent="0.25">
      <c r="A50" s="38" t="s">
        <v>314</v>
      </c>
      <c r="B50" s="37" t="s">
        <v>313</v>
      </c>
      <c r="C50" s="36">
        <f>+Tabla14[[#This Row],[PRECIO SUGERIDO INSTALADOR2]]</f>
        <v>297868.89999999997</v>
      </c>
      <c r="D50" s="36">
        <f>+Tabla14[[#This Row],[PRECIO  INSTALADOR
( CON  IVA)]]-Tabla14[[#This Row],[Columna1]]</f>
        <v>282975.45499999996</v>
      </c>
      <c r="E50" s="36">
        <f>+Tabla14[[#This Row],[DPP ORO2]]</f>
        <v>253932.90999999997</v>
      </c>
      <c r="F50" s="36">
        <f>+Tabla14[[#This Row],[Columna4]]</f>
        <v>251393.58089999997</v>
      </c>
      <c r="G50" s="36">
        <f>+Tabla14[[#This Row],[PRECIO  INSTALADOR
( CON  IVA)]]/0.7</f>
        <v>425527</v>
      </c>
      <c r="H50" s="35">
        <f>+Tabla14[[#This Row],[PRECIO SUGERIDO INSTALADOR2]]*5%</f>
        <v>14893.445</v>
      </c>
      <c r="I50" s="29">
        <f t="shared" si="0"/>
        <v>61.416268041237103</v>
      </c>
      <c r="J50" s="29">
        <f t="shared" si="1"/>
        <v>52.357301030927829</v>
      </c>
      <c r="K50" s="34">
        <f t="shared" si="2"/>
        <v>51.833728020618551</v>
      </c>
      <c r="L50" s="34">
        <f t="shared" si="3"/>
        <v>51.833728020618551</v>
      </c>
      <c r="M50" s="34">
        <f t="shared" si="4"/>
        <v>251393.58089999997</v>
      </c>
      <c r="N50" s="33">
        <f t="shared" si="5"/>
        <v>2539.3290999999999</v>
      </c>
      <c r="O50" s="4">
        <f t="shared" si="6"/>
        <v>52.357301030927829</v>
      </c>
      <c r="P50" s="32">
        <f>Tabla14[[#This Row],[ORO SIN IVA]]*1.19</f>
        <v>253932.90999999997</v>
      </c>
      <c r="Q50" s="31">
        <f t="shared" si="7"/>
        <v>61.416268041237103</v>
      </c>
      <c r="R50" s="45">
        <f>Tabla14[[#This Row],[INSTALLER SIN IVA]]*1.19</f>
        <v>297868.89999999997</v>
      </c>
      <c r="S50" s="39">
        <v>213389</v>
      </c>
      <c r="T50" s="4">
        <v>250310</v>
      </c>
    </row>
    <row r="51" spans="1:20" ht="40.5" x14ac:dyDescent="0.25">
      <c r="A51" s="38" t="s">
        <v>312</v>
      </c>
      <c r="B51" s="37" t="s">
        <v>311</v>
      </c>
      <c r="C51" s="36">
        <f>+Tabla14[[#This Row],[PRECIO SUGERIDO INSTALADOR2]]</f>
        <v>393771</v>
      </c>
      <c r="D51" s="36">
        <f>+Tabla14[[#This Row],[PRECIO  INSTALADOR
( CON  IVA)]]-Tabla14[[#This Row],[Columna1]]</f>
        <v>374082.45</v>
      </c>
      <c r="E51" s="36">
        <f>+Tabla14[[#This Row],[DPP ORO2]]</f>
        <v>366207.02999999997</v>
      </c>
      <c r="F51" s="36">
        <f>+Tabla14[[#This Row],[Columna4]]</f>
        <v>362544.95969999995</v>
      </c>
      <c r="G51" s="36">
        <f>+Tabla14[[#This Row],[PRECIO  INSTALADOR
( CON  IVA)]]/0.7</f>
        <v>562530</v>
      </c>
      <c r="H51" s="35">
        <f>+Tabla14[[#This Row],[PRECIO SUGERIDO INSTALADOR2]]*5%</f>
        <v>19688.550000000003</v>
      </c>
      <c r="I51" s="29">
        <f t="shared" si="0"/>
        <v>81.189896907216493</v>
      </c>
      <c r="J51" s="29">
        <f t="shared" si="1"/>
        <v>75.506604123711341</v>
      </c>
      <c r="K51" s="34">
        <f t="shared" si="2"/>
        <v>74.751538082474212</v>
      </c>
      <c r="L51" s="34">
        <f t="shared" si="3"/>
        <v>74.751538082474212</v>
      </c>
      <c r="M51" s="34">
        <f t="shared" si="4"/>
        <v>362544.95969999995</v>
      </c>
      <c r="N51" s="33">
        <f t="shared" si="5"/>
        <v>3662.0702999999999</v>
      </c>
      <c r="O51" s="4">
        <f t="shared" si="6"/>
        <v>75.506604123711341</v>
      </c>
      <c r="P51" s="32">
        <f>Tabla14[[#This Row],[ORO SIN IVA]]*1.19</f>
        <v>366207.02999999997</v>
      </c>
      <c r="Q51" s="31">
        <f t="shared" si="7"/>
        <v>81.189896907216493</v>
      </c>
      <c r="R51" s="45">
        <f>Tabla14[[#This Row],[INSTALLER SIN IVA]]*1.19</f>
        <v>393771</v>
      </c>
      <c r="S51" s="39">
        <f>Tabla14[[#This Row],[INSTALLER SIN IVA]]*0.93</f>
        <v>307737</v>
      </c>
      <c r="T51" s="4">
        <v>330900</v>
      </c>
    </row>
    <row r="52" spans="1:20" ht="40.5" x14ac:dyDescent="0.25">
      <c r="A52" s="38" t="s">
        <v>310</v>
      </c>
      <c r="B52" s="37" t="s">
        <v>309</v>
      </c>
      <c r="C52" s="36">
        <f>+Tabla14[[#This Row],[PRECIO SUGERIDO INSTALADOR2]]</f>
        <v>462600.6</v>
      </c>
      <c r="D52" s="36">
        <f>+Tabla14[[#This Row],[PRECIO  INSTALADOR
( CON  IVA)]]-Tabla14[[#This Row],[Columna1]]</f>
        <v>439470.56999999995</v>
      </c>
      <c r="E52" s="36">
        <f>+Tabla14[[#This Row],[DPP ORO2]]</f>
        <v>394373.13999999996</v>
      </c>
      <c r="F52" s="36">
        <f>+Tabla14[[#This Row],[Columna4]]</f>
        <v>390429.40859999997</v>
      </c>
      <c r="G52" s="36">
        <f>+Tabla14[[#This Row],[PRECIO  INSTALADOR
( CON  IVA)]]/0.7</f>
        <v>660858</v>
      </c>
      <c r="H52" s="35">
        <f>+Tabla14[[#This Row],[PRECIO SUGERIDO INSTALADOR2]]*5%</f>
        <v>23130.03</v>
      </c>
      <c r="I52" s="29">
        <f t="shared" si="0"/>
        <v>95.381567010309269</v>
      </c>
      <c r="J52" s="29">
        <f t="shared" si="1"/>
        <v>81.314049484536071</v>
      </c>
      <c r="K52" s="34">
        <f t="shared" si="2"/>
        <v>80.500908989690714</v>
      </c>
      <c r="L52" s="34">
        <f t="shared" si="3"/>
        <v>80.500908989690714</v>
      </c>
      <c r="M52" s="34">
        <f t="shared" si="4"/>
        <v>390429.40859999997</v>
      </c>
      <c r="N52" s="33">
        <f t="shared" si="5"/>
        <v>3943.7313999999997</v>
      </c>
      <c r="O52" s="4">
        <f t="shared" si="6"/>
        <v>81.314049484536071</v>
      </c>
      <c r="P52" s="32">
        <f>Tabla14[[#This Row],[ORO SIN IVA]]*1.19</f>
        <v>394373.13999999996</v>
      </c>
      <c r="Q52" s="31">
        <f t="shared" si="7"/>
        <v>95.381567010309269</v>
      </c>
      <c r="R52" s="45">
        <f>Tabla14[[#This Row],[INSTALLER SIN IVA]]*1.19</f>
        <v>462600.6</v>
      </c>
      <c r="S52" s="39">
        <v>331406</v>
      </c>
      <c r="T52" s="4">
        <v>388740</v>
      </c>
    </row>
    <row r="53" spans="1:20" ht="40.5" x14ac:dyDescent="0.25">
      <c r="A53" s="38" t="s">
        <v>308</v>
      </c>
      <c r="B53" s="37" t="s">
        <v>307</v>
      </c>
      <c r="C53" s="36">
        <f>+Tabla14[[#This Row],[PRECIO SUGERIDO INSTALADOR2]]</f>
        <v>428570.17</v>
      </c>
      <c r="D53" s="36">
        <f>+Tabla14[[#This Row],[PRECIO  INSTALADOR
( CON  IVA)]]-Tabla14[[#This Row],[Columna1]]</f>
        <v>407141.66149999999</v>
      </c>
      <c r="E53" s="36">
        <f>+Tabla14[[#This Row],[DPP ORO2]]</f>
        <v>365321.67</v>
      </c>
      <c r="F53" s="36">
        <f>+Tabla14[[#This Row],[Columna4]]</f>
        <v>361668.45329999999</v>
      </c>
      <c r="G53" s="36">
        <f>+Tabla14[[#This Row],[PRECIO  INSTALADOR
( CON  IVA)]]/0.7</f>
        <v>612243.1</v>
      </c>
      <c r="H53" s="35">
        <f>+Tabla14[[#This Row],[PRECIO SUGERIDO INSTALADOR2]]*5%</f>
        <v>21428.5085</v>
      </c>
      <c r="I53" s="29">
        <f t="shared" si="0"/>
        <v>88.36498350515464</v>
      </c>
      <c r="J53" s="29">
        <f t="shared" si="1"/>
        <v>75.324055670103093</v>
      </c>
      <c r="K53" s="34">
        <f t="shared" si="2"/>
        <v>74.570815113402062</v>
      </c>
      <c r="L53" s="34">
        <f t="shared" si="3"/>
        <v>74.570815113402062</v>
      </c>
      <c r="M53" s="34">
        <f t="shared" si="4"/>
        <v>361668.45329999999</v>
      </c>
      <c r="N53" s="33">
        <f t="shared" si="5"/>
        <v>3653.2166999999999</v>
      </c>
      <c r="O53" s="4">
        <f t="shared" si="6"/>
        <v>75.324055670103093</v>
      </c>
      <c r="P53" s="32">
        <f>Tabla14[[#This Row],[ORO SIN IVA]]*1.19</f>
        <v>365321.67</v>
      </c>
      <c r="Q53" s="31">
        <f t="shared" si="7"/>
        <v>88.36498350515464</v>
      </c>
      <c r="R53" s="45">
        <f>Tabla14[[#This Row],[INSTALLER SIN IVA]]*1.19</f>
        <v>428570.17</v>
      </c>
      <c r="S53" s="39">
        <v>306993</v>
      </c>
      <c r="T53" s="4">
        <v>360143</v>
      </c>
    </row>
    <row r="54" spans="1:20" ht="40.5" x14ac:dyDescent="0.25">
      <c r="A54" s="47" t="s">
        <v>306</v>
      </c>
      <c r="B54" s="46" t="s">
        <v>305</v>
      </c>
      <c r="C54" s="36">
        <f>+Tabla14[[#This Row],[PRECIO SUGERIDO INSTALADOR2]]</f>
        <v>428570.17</v>
      </c>
      <c r="D54" s="36">
        <f>+Tabla14[[#This Row],[PRECIO  INSTALADOR
( CON  IVA)]]-Tabla14[[#This Row],[Columna1]]</f>
        <v>407141.66149999999</v>
      </c>
      <c r="E54" s="36">
        <f>+Tabla14[[#This Row],[DPP ORO2]]</f>
        <v>365266.93</v>
      </c>
      <c r="F54" s="36">
        <f>+Tabla14[[#This Row],[Columna4]]</f>
        <v>361614.26069999998</v>
      </c>
      <c r="G54" s="36">
        <f>+Tabla14[[#This Row],[PRECIO  INSTALADOR
( CON  IVA)]]/0.7</f>
        <v>612243.1</v>
      </c>
      <c r="H54" s="35">
        <f>+Tabla14[[#This Row],[PRECIO SUGERIDO INSTALADOR2]]*5%</f>
        <v>21428.5085</v>
      </c>
      <c r="I54" s="29">
        <f t="shared" si="0"/>
        <v>88.36498350515464</v>
      </c>
      <c r="J54" s="29">
        <f t="shared" si="1"/>
        <v>75.31276907216494</v>
      </c>
      <c r="K54" s="34">
        <f t="shared" si="2"/>
        <v>74.559641381443299</v>
      </c>
      <c r="L54" s="34">
        <f t="shared" si="3"/>
        <v>74.559641381443299</v>
      </c>
      <c r="M54" s="34">
        <f t="shared" si="4"/>
        <v>361614.26069999998</v>
      </c>
      <c r="N54" s="33">
        <f t="shared" si="5"/>
        <v>3652.6693</v>
      </c>
      <c r="O54" s="4">
        <f t="shared" si="6"/>
        <v>75.31276907216494</v>
      </c>
      <c r="P54" s="32">
        <f>Tabla14[[#This Row],[ORO SIN IVA]]*1.19</f>
        <v>365266.93</v>
      </c>
      <c r="Q54" s="31">
        <f t="shared" si="7"/>
        <v>88.36498350515464</v>
      </c>
      <c r="R54" s="45">
        <f>Tabla14[[#This Row],[INSTALLER SIN IVA]]*1.19</f>
        <v>428570.17</v>
      </c>
      <c r="S54" s="39">
        <v>306947</v>
      </c>
      <c r="T54" s="4">
        <v>360143</v>
      </c>
    </row>
    <row r="55" spans="1:20" ht="27" x14ac:dyDescent="0.25">
      <c r="A55" s="38" t="s">
        <v>304</v>
      </c>
      <c r="B55" s="37" t="s">
        <v>303</v>
      </c>
      <c r="C55" s="36">
        <f>+Tabla14[[#This Row],[PRECIO SUGERIDO INSTALADOR2]]</f>
        <v>477547</v>
      </c>
      <c r="D55" s="36">
        <f>+Tabla14[[#This Row],[PRECIO  INSTALADOR
( CON  IVA)]]-Tabla14[[#This Row],[Columna1]]</f>
        <v>453669.65</v>
      </c>
      <c r="E55" s="36">
        <f>+Tabla14[[#This Row],[DPP ORO2]]</f>
        <v>444118.70999999996</v>
      </c>
      <c r="F55" s="36">
        <f>+Tabla14[[#This Row],[Columna4]]</f>
        <v>439677.52289999998</v>
      </c>
      <c r="G55" s="36">
        <f>+Tabla14[[#This Row],[PRECIO  INSTALADOR
( CON  IVA)]]/0.7</f>
        <v>682210</v>
      </c>
      <c r="H55" s="35">
        <f>+Tabla14[[#This Row],[PRECIO SUGERIDO INSTALADOR2]]*5%</f>
        <v>23877.350000000002</v>
      </c>
      <c r="I55" s="29">
        <f t="shared" si="0"/>
        <v>98.46329896907217</v>
      </c>
      <c r="J55" s="29">
        <f t="shared" si="1"/>
        <v>91.570868041237105</v>
      </c>
      <c r="K55" s="34">
        <f t="shared" si="2"/>
        <v>90.65515936082474</v>
      </c>
      <c r="L55" s="34">
        <f t="shared" si="3"/>
        <v>90.65515936082474</v>
      </c>
      <c r="M55" s="34">
        <f t="shared" si="4"/>
        <v>439677.52289999998</v>
      </c>
      <c r="N55" s="33">
        <f t="shared" si="5"/>
        <v>4441.1871000000001</v>
      </c>
      <c r="O55" s="4">
        <f t="shared" si="6"/>
        <v>91.570868041237105</v>
      </c>
      <c r="P55" s="32">
        <f>Tabla14[[#This Row],[ORO SIN IVA]]*1.19</f>
        <v>444118.70999999996</v>
      </c>
      <c r="Q55" s="31">
        <f t="shared" si="7"/>
        <v>98.46329896907217</v>
      </c>
      <c r="R55" s="45">
        <f>Tabla14[[#This Row],[INSTALLER SIN IVA]]*1.19</f>
        <v>477547</v>
      </c>
      <c r="S55" s="39">
        <f>Tabla14[[#This Row],[INSTALLER SIN IVA]]*0.93</f>
        <v>373209</v>
      </c>
      <c r="T55" s="4">
        <v>401300</v>
      </c>
    </row>
    <row r="56" spans="1:20" ht="40.5" x14ac:dyDescent="0.25">
      <c r="A56" s="38" t="s">
        <v>302</v>
      </c>
      <c r="B56" s="37" t="s">
        <v>301</v>
      </c>
      <c r="C56" s="36">
        <f>+Tabla14[[#This Row],[PRECIO SUGERIDO INSTALADOR2]]</f>
        <v>743204.98</v>
      </c>
      <c r="D56" s="36">
        <f>+Tabla14[[#This Row],[PRECIO  INSTALADOR
( CON  IVA)]]-Tabla14[[#This Row],[Columna1]]</f>
        <v>706044.73100000003</v>
      </c>
      <c r="E56" s="36">
        <f>+Tabla14[[#This Row],[DPP ORO2]]</f>
        <v>633641.67999999993</v>
      </c>
      <c r="F56" s="36">
        <f>+Tabla14[[#This Row],[Columna4]]</f>
        <v>627305.26319999993</v>
      </c>
      <c r="G56" s="36">
        <f>+Tabla14[[#This Row],[PRECIO  INSTALADOR
( CON  IVA)]]/0.7</f>
        <v>1061721.4000000001</v>
      </c>
      <c r="H56" s="35">
        <f>+Tabla14[[#This Row],[PRECIO SUGERIDO INSTALADOR2]]*5%</f>
        <v>37160.249000000003</v>
      </c>
      <c r="I56" s="29">
        <f t="shared" si="0"/>
        <v>153.23814020618556</v>
      </c>
      <c r="J56" s="29">
        <f t="shared" si="1"/>
        <v>130.64776907216495</v>
      </c>
      <c r="K56" s="34">
        <f t="shared" si="2"/>
        <v>129.34129138144328</v>
      </c>
      <c r="L56" s="34">
        <f t="shared" si="3"/>
        <v>129.34129138144328</v>
      </c>
      <c r="M56" s="34">
        <f t="shared" si="4"/>
        <v>627305.26319999993</v>
      </c>
      <c r="N56" s="33">
        <f t="shared" si="5"/>
        <v>6336.4167999999991</v>
      </c>
      <c r="O56" s="4">
        <f t="shared" si="6"/>
        <v>130.64776907216495</v>
      </c>
      <c r="P56" s="32">
        <f>Tabla14[[#This Row],[ORO SIN IVA]]*1.19</f>
        <v>633641.67999999993</v>
      </c>
      <c r="Q56" s="31">
        <f t="shared" si="7"/>
        <v>153.23814020618556</v>
      </c>
      <c r="R56" s="45">
        <f>Tabla14[[#This Row],[INSTALLER SIN IVA]]*1.19</f>
        <v>743204.98</v>
      </c>
      <c r="S56" s="39">
        <v>532472</v>
      </c>
      <c r="T56" s="4">
        <v>624542</v>
      </c>
    </row>
    <row r="57" spans="1:20" ht="54" x14ac:dyDescent="0.25">
      <c r="A57" s="38" t="s">
        <v>300</v>
      </c>
      <c r="B57" s="37" t="s">
        <v>299</v>
      </c>
      <c r="C57" s="36">
        <f>+Tabla14[[#This Row],[PRECIO SUGERIDO INSTALADOR2]]</f>
        <v>746137.14</v>
      </c>
      <c r="D57" s="36">
        <f>+Tabla14[[#This Row],[PRECIO  INSTALADOR
( CON  IVA)]]-Tabla14[[#This Row],[Columna1]]</f>
        <v>708830.28300000005</v>
      </c>
      <c r="E57" s="36">
        <f>+Tabla14[[#This Row],[DPP ORO2]]</f>
        <v>636076.41999999993</v>
      </c>
      <c r="F57" s="36">
        <f>+Tabla14[[#This Row],[Columna4]]</f>
        <v>629715.65579999995</v>
      </c>
      <c r="G57" s="36">
        <f>+Tabla14[[#This Row],[PRECIO  INSTALADOR
( CON  IVA)]]/0.7</f>
        <v>1065910.2000000002</v>
      </c>
      <c r="H57" s="35">
        <f>+Tabla14[[#This Row],[PRECIO SUGERIDO INSTALADOR2]]*5%</f>
        <v>37306.857000000004</v>
      </c>
      <c r="I57" s="29">
        <f t="shared" si="0"/>
        <v>153.84270927835053</v>
      </c>
      <c r="J57" s="29">
        <f t="shared" si="1"/>
        <v>131.1497773195876</v>
      </c>
      <c r="K57" s="34">
        <f t="shared" si="2"/>
        <v>129.83827954639173</v>
      </c>
      <c r="L57" s="34">
        <f t="shared" si="3"/>
        <v>129.83827954639173</v>
      </c>
      <c r="M57" s="34">
        <f t="shared" si="4"/>
        <v>629715.65579999995</v>
      </c>
      <c r="N57" s="33">
        <f t="shared" si="5"/>
        <v>6360.7641999999996</v>
      </c>
      <c r="O57" s="4">
        <f t="shared" si="6"/>
        <v>131.1497773195876</v>
      </c>
      <c r="P57" s="32">
        <f>Tabla14[[#This Row],[ORO SIN IVA]]*1.19</f>
        <v>636076.41999999993</v>
      </c>
      <c r="Q57" s="31">
        <f t="shared" si="7"/>
        <v>153.84270927835053</v>
      </c>
      <c r="R57" s="45">
        <f>Tabla14[[#This Row],[INSTALLER SIN IVA]]*1.19</f>
        <v>746137.14</v>
      </c>
      <c r="S57" s="39">
        <v>534518</v>
      </c>
      <c r="T57" s="4">
        <v>627006</v>
      </c>
    </row>
    <row r="58" spans="1:20" ht="40.5" x14ac:dyDescent="0.25">
      <c r="A58" s="38" t="s">
        <v>298</v>
      </c>
      <c r="B58" s="37" t="s">
        <v>297</v>
      </c>
      <c r="C58" s="36">
        <f>+Tabla14[[#This Row],[PRECIO SUGERIDO INSTALADOR2]]</f>
        <v>1672390.2999999998</v>
      </c>
      <c r="D58" s="36">
        <f>+Tabla14[[#This Row],[PRECIO  INSTALADOR
( CON  IVA)]]-Tabla14[[#This Row],[Columna1]]</f>
        <v>1588770.7849999999</v>
      </c>
      <c r="E58" s="36">
        <f>+Tabla14[[#This Row],[DPP ORO2]]</f>
        <v>1425706.8699999999</v>
      </c>
      <c r="F58" s="36">
        <f>+Tabla14[[#This Row],[Columna4]]</f>
        <v>1411449.8012999999</v>
      </c>
      <c r="G58" s="36">
        <f>+Tabla14[[#This Row],[PRECIO  INSTALADOR
( CON  IVA)]]/0.7</f>
        <v>2389129</v>
      </c>
      <c r="H58" s="35">
        <f>+Tabla14[[#This Row],[PRECIO SUGERIDO INSTALADOR2]]*5%</f>
        <v>83619.514999999999</v>
      </c>
      <c r="I58" s="29">
        <f t="shared" si="0"/>
        <v>344.82274226804122</v>
      </c>
      <c r="J58" s="29">
        <f t="shared" si="1"/>
        <v>293.96017938144325</v>
      </c>
      <c r="K58" s="34">
        <f t="shared" si="2"/>
        <v>291.02057758762885</v>
      </c>
      <c r="L58" s="34">
        <f t="shared" si="3"/>
        <v>291.02057758762885</v>
      </c>
      <c r="M58" s="34">
        <f t="shared" si="4"/>
        <v>1411449.8012999999</v>
      </c>
      <c r="N58" s="33">
        <f t="shared" si="5"/>
        <v>14257.0687</v>
      </c>
      <c r="O58" s="4">
        <f t="shared" si="6"/>
        <v>293.96017938144325</v>
      </c>
      <c r="P58" s="32">
        <f>Tabla14[[#This Row],[ORO SIN IVA]]*1.19</f>
        <v>1425706.8699999999</v>
      </c>
      <c r="Q58" s="31">
        <f t="shared" si="7"/>
        <v>344.82274226804122</v>
      </c>
      <c r="R58" s="45">
        <f>Tabla14[[#This Row],[INSTALLER SIN IVA]]*1.19</f>
        <v>1672390.2999999998</v>
      </c>
      <c r="S58" s="39">
        <v>1198073</v>
      </c>
      <c r="T58" s="4">
        <v>1405370</v>
      </c>
    </row>
    <row r="59" spans="1:20" ht="15" x14ac:dyDescent="0.25">
      <c r="A59" s="38" t="s">
        <v>296</v>
      </c>
      <c r="B59" s="59" t="s">
        <v>295</v>
      </c>
      <c r="C59" s="36">
        <f>+Tabla14[[#This Row],[PRECIO SUGERIDO INSTALADOR2]]</f>
        <v>105672</v>
      </c>
      <c r="D59" s="36">
        <f>+Tabla14[[#This Row],[PRECIO  INSTALADOR
( CON  IVA)]]-Tabla14[[#This Row],[Columna1]]</f>
        <v>100388.4</v>
      </c>
      <c r="E59" s="36">
        <f>+Tabla14[[#This Row],[DPP ORO2]]</f>
        <v>98274.959999999992</v>
      </c>
      <c r="F59" s="36">
        <f>+Tabla14[[#This Row],[Columna4]]</f>
        <v>97292.210399999996</v>
      </c>
      <c r="G59" s="36">
        <f>+Tabla14[[#This Row],[PRECIO  INSTALADOR
( CON  IVA)]]/0.7</f>
        <v>150960</v>
      </c>
      <c r="H59" s="35">
        <f>+Tabla14[[#This Row],[PRECIO SUGERIDO INSTALADOR2]]*5%</f>
        <v>5283.6</v>
      </c>
      <c r="I59" s="29">
        <f t="shared" si="0"/>
        <v>21.788041237113401</v>
      </c>
      <c r="J59" s="29">
        <f t="shared" si="1"/>
        <v>20.262878350515461</v>
      </c>
      <c r="K59" s="34">
        <f t="shared" si="2"/>
        <v>20.06024956701031</v>
      </c>
      <c r="L59" s="34">
        <f t="shared" si="3"/>
        <v>20.06024956701031</v>
      </c>
      <c r="M59" s="34">
        <f t="shared" si="4"/>
        <v>97292.210399999996</v>
      </c>
      <c r="N59" s="33">
        <f t="shared" si="5"/>
        <v>982.74959999999999</v>
      </c>
      <c r="O59" s="4">
        <f t="shared" si="6"/>
        <v>20.262878350515461</v>
      </c>
      <c r="P59" s="53">
        <f>Tabla14[[#This Row],[ORO SIN IVA]]*1.19</f>
        <v>98274.959999999992</v>
      </c>
      <c r="Q59" s="31">
        <f t="shared" si="7"/>
        <v>21.788041237113401</v>
      </c>
      <c r="R59" s="52">
        <f>Tabla14[[#This Row],[INSTALLER SIN IVA]]*1.19</f>
        <v>105672</v>
      </c>
      <c r="S59" s="39">
        <f>Tabla14[[#This Row],[INSTALLER SIN IVA]]*0.93</f>
        <v>82584</v>
      </c>
      <c r="T59" s="4">
        <v>88800</v>
      </c>
    </row>
    <row r="60" spans="1:20" ht="54" x14ac:dyDescent="0.25">
      <c r="A60" s="47" t="s">
        <v>294</v>
      </c>
      <c r="B60" s="46" t="s">
        <v>293</v>
      </c>
      <c r="C60" s="36">
        <f>+Tabla14[[#This Row],[PRECIO SUGERIDO INSTALADOR2]]</f>
        <v>199095.33</v>
      </c>
      <c r="D60" s="36">
        <f>+Tabla14[[#This Row],[PRECIO  INSTALADOR
( CON  IVA)]]-Tabla14[[#This Row],[Columna1]]</f>
        <v>189140.56349999999</v>
      </c>
      <c r="E60" s="36">
        <f>+Tabla14[[#This Row],[DPP ORO2]]</f>
        <v>169657.11</v>
      </c>
      <c r="F60" s="36">
        <f>+Tabla14[[#This Row],[Columna4]]</f>
        <v>167960.53889999999</v>
      </c>
      <c r="G60" s="36">
        <f>+Tabla14[[#This Row],[PRECIO  INSTALADOR
( CON  IVA)]]/0.7</f>
        <v>284421.90000000002</v>
      </c>
      <c r="H60" s="35">
        <f>+Tabla14[[#This Row],[PRECIO SUGERIDO INSTALADOR2]]*5%</f>
        <v>9954.7664999999997</v>
      </c>
      <c r="I60" s="29">
        <f t="shared" si="0"/>
        <v>41.050583505154634</v>
      </c>
      <c r="J60" s="29">
        <f t="shared" si="1"/>
        <v>34.980847422680412</v>
      </c>
      <c r="K60" s="34">
        <f t="shared" si="2"/>
        <v>34.631038948453607</v>
      </c>
      <c r="L60" s="34">
        <f t="shared" si="3"/>
        <v>34.631038948453607</v>
      </c>
      <c r="M60" s="34">
        <f t="shared" si="4"/>
        <v>167960.53889999999</v>
      </c>
      <c r="N60" s="33">
        <f t="shared" si="5"/>
        <v>1696.5710999999999</v>
      </c>
      <c r="O60" s="4">
        <f t="shared" si="6"/>
        <v>34.980847422680412</v>
      </c>
      <c r="P60" s="32">
        <f>Tabla14[[#This Row],[ORO SIN IVA]]*1.19</f>
        <v>169657.11</v>
      </c>
      <c r="Q60" s="31">
        <f t="shared" si="7"/>
        <v>41.050583505154634</v>
      </c>
      <c r="R60" s="45">
        <f>Tabla14[[#This Row],[INSTALLER SIN IVA]]*1.19</f>
        <v>199095.33</v>
      </c>
      <c r="S60" s="39">
        <v>142569</v>
      </c>
      <c r="T60" s="4">
        <v>167307</v>
      </c>
    </row>
    <row r="61" spans="1:20" ht="27" x14ac:dyDescent="0.25">
      <c r="A61" s="47" t="s">
        <v>292</v>
      </c>
      <c r="B61" s="46" t="s">
        <v>291</v>
      </c>
      <c r="C61" s="36">
        <f>+Tabla14[[#This Row],[PRECIO SUGERIDO INSTALADOR2]]</f>
        <v>409645.6</v>
      </c>
      <c r="D61" s="36">
        <f>+Tabla14[[#This Row],[PRECIO  INSTALADOR
( CON  IVA)]]-Tabla14[[#This Row],[Columna1]]</f>
        <v>389163.31999999995</v>
      </c>
      <c r="E61" s="36">
        <f>+Tabla14[[#This Row],[DPP ORO2]]</f>
        <v>349219.77999999997</v>
      </c>
      <c r="F61" s="36">
        <f>+Tabla14[[#This Row],[Columna4]]</f>
        <v>345727.58219999995</v>
      </c>
      <c r="G61" s="36">
        <f>+Tabla14[[#This Row],[PRECIO  INSTALADOR
( CON  IVA)]]/0.7</f>
        <v>585208</v>
      </c>
      <c r="H61" s="35">
        <f>+Tabla14[[#This Row],[PRECIO SUGERIDO INSTALADOR2]]*5%</f>
        <v>20482.28</v>
      </c>
      <c r="I61" s="29">
        <f t="shared" si="0"/>
        <v>84.463010309278346</v>
      </c>
      <c r="J61" s="29">
        <f t="shared" si="1"/>
        <v>72.004078350515456</v>
      </c>
      <c r="K61" s="34">
        <f t="shared" si="2"/>
        <v>71.284037567010301</v>
      </c>
      <c r="L61" s="34">
        <f t="shared" si="3"/>
        <v>71.284037567010301</v>
      </c>
      <c r="M61" s="34">
        <f t="shared" si="4"/>
        <v>345727.58219999995</v>
      </c>
      <c r="N61" s="33">
        <f t="shared" si="5"/>
        <v>3492.1977999999999</v>
      </c>
      <c r="O61" s="4">
        <f t="shared" si="6"/>
        <v>72.004078350515456</v>
      </c>
      <c r="P61" s="32">
        <f>Tabla14[[#This Row],[ORO SIN IVA]]*1.19</f>
        <v>349219.77999999997</v>
      </c>
      <c r="Q61" s="31">
        <f t="shared" si="7"/>
        <v>84.463010309278346</v>
      </c>
      <c r="R61" s="45">
        <f>Tabla14[[#This Row],[INSTALLER SIN IVA]]*1.19</f>
        <v>409645.6</v>
      </c>
      <c r="S61" s="39">
        <v>293462</v>
      </c>
      <c r="T61" s="4">
        <v>344240</v>
      </c>
    </row>
    <row r="62" spans="1:20" ht="15" x14ac:dyDescent="0.25">
      <c r="A62" s="58" t="s">
        <v>290</v>
      </c>
      <c r="B62" s="37" t="s">
        <v>289</v>
      </c>
      <c r="C62" s="36">
        <f>+Tabla14[[#This Row],[PRECIO SUGERIDO INSTALADOR2]]</f>
        <v>76750.239999999991</v>
      </c>
      <c r="D62" s="36">
        <f>+Tabla14[[#This Row],[PRECIO  INSTALADOR
( CON  IVA)]]-Tabla14[[#This Row],[Columna1]]</f>
        <v>72912.727999999988</v>
      </c>
      <c r="E62" s="36">
        <f>+Tabla14[[#This Row],[DPP ORO2]]</f>
        <v>65461.899999999994</v>
      </c>
      <c r="F62" s="36">
        <f>+Tabla14[[#This Row],[Columna4]]</f>
        <v>64807.280999999995</v>
      </c>
      <c r="G62" s="36">
        <f>+Tabla14[[#This Row],[PRECIO  INSTALADOR
( CON  IVA)]]/0.7</f>
        <v>109643.2</v>
      </c>
      <c r="H62" s="35">
        <f>+Tabla14[[#This Row],[PRECIO SUGERIDO INSTALADOR2]]*5%</f>
        <v>3837.5119999999997</v>
      </c>
      <c r="I62" s="29">
        <f t="shared" si="0"/>
        <v>15.824791752577317</v>
      </c>
      <c r="J62" s="29">
        <f t="shared" si="1"/>
        <v>13.497298969072164</v>
      </c>
      <c r="K62" s="34">
        <f t="shared" si="2"/>
        <v>13.362325979381442</v>
      </c>
      <c r="L62" s="34">
        <f t="shared" si="3"/>
        <v>13.362325979381442</v>
      </c>
      <c r="M62" s="34">
        <f t="shared" si="4"/>
        <v>64807.280999999995</v>
      </c>
      <c r="N62" s="33">
        <f t="shared" si="5"/>
        <v>654.61899999999991</v>
      </c>
      <c r="O62" s="4">
        <f t="shared" si="6"/>
        <v>13.497298969072164</v>
      </c>
      <c r="P62" s="32">
        <f>Tabla14[[#This Row],[ORO SIN IVA]]*1.19</f>
        <v>65461.899999999994</v>
      </c>
      <c r="Q62" s="31">
        <f t="shared" si="7"/>
        <v>15.824791752577317</v>
      </c>
      <c r="R62" s="45">
        <f>Tabla14[[#This Row],[INSTALLER SIN IVA]]*1.19</f>
        <v>76750.239999999991</v>
      </c>
      <c r="S62" s="39">
        <v>55010</v>
      </c>
      <c r="T62" s="4">
        <v>64496</v>
      </c>
    </row>
    <row r="63" spans="1:20" ht="15" x14ac:dyDescent="0.25">
      <c r="A63" s="38" t="s">
        <v>288</v>
      </c>
      <c r="B63" s="37" t="s">
        <v>287</v>
      </c>
      <c r="C63" s="36">
        <f>+Tabla14[[#This Row],[PRECIO SUGERIDO INSTALADOR2]]</f>
        <v>132029.31</v>
      </c>
      <c r="D63" s="36">
        <f>+Tabla14[[#This Row],[PRECIO  INSTALADOR
( CON  IVA)]]-Tabla14[[#This Row],[Columna1]]</f>
        <v>125427.84449999999</v>
      </c>
      <c r="E63" s="36">
        <f>+Tabla14[[#This Row],[DPP ORO2]]</f>
        <v>121466.96519999999</v>
      </c>
      <c r="F63" s="36">
        <f>+Tabla14[[#This Row],[Columna4]]</f>
        <v>120252.29554799999</v>
      </c>
      <c r="G63" s="36">
        <f>+Tabla14[[#This Row],[PRECIO  INSTALADOR
( CON  IVA)]]/0.7</f>
        <v>188613.30000000002</v>
      </c>
      <c r="H63" s="35">
        <f>+Tabla14[[#This Row],[PRECIO SUGERIDO INSTALADOR2]]*5%</f>
        <v>6601.4655000000002</v>
      </c>
      <c r="I63" s="29">
        <f t="shared" si="0"/>
        <v>27.222538144329896</v>
      </c>
      <c r="J63" s="29">
        <f t="shared" si="1"/>
        <v>25.044735092783505</v>
      </c>
      <c r="K63" s="34">
        <f t="shared" si="2"/>
        <v>24.794287741855669</v>
      </c>
      <c r="L63" s="34">
        <f t="shared" si="3"/>
        <v>24.794287741855669</v>
      </c>
      <c r="M63" s="34">
        <f t="shared" si="4"/>
        <v>120252.29554799999</v>
      </c>
      <c r="N63" s="33">
        <f t="shared" si="5"/>
        <v>1214.669652</v>
      </c>
      <c r="O63" s="4">
        <f t="shared" si="6"/>
        <v>25.044735092783505</v>
      </c>
      <c r="P63" s="32">
        <f>Tabla14[[#This Row],[ORO SIN IVA]]*1.19</f>
        <v>121466.96519999999</v>
      </c>
      <c r="Q63" s="31">
        <f t="shared" si="7"/>
        <v>27.222538144329896</v>
      </c>
      <c r="R63" s="45">
        <f>Tabla14[[#This Row],[INSTALLER SIN IVA]]*1.19</f>
        <v>132029.31</v>
      </c>
      <c r="S63" s="39">
        <f>Tabla14[[#This Row],[INSTALLER SIN IVA]]*0.92</f>
        <v>102073.08</v>
      </c>
      <c r="T63" s="4">
        <v>110949</v>
      </c>
    </row>
    <row r="64" spans="1:20" ht="40.5" x14ac:dyDescent="0.25">
      <c r="A64" s="38" t="s">
        <v>286</v>
      </c>
      <c r="B64" s="37" t="s">
        <v>285</v>
      </c>
      <c r="C64" s="36">
        <f>+Tabla14[[#This Row],[PRECIO SUGERIDO INSTALADOR2]]</f>
        <v>124559.67999999999</v>
      </c>
      <c r="D64" s="36">
        <f>+Tabla14[[#This Row],[PRECIO  INSTALADOR
( CON  IVA)]]-Tabla14[[#This Row],[Columna1]]</f>
        <v>118331.696</v>
      </c>
      <c r="E64" s="36">
        <f>+Tabla14[[#This Row],[DPP ORO2]]</f>
        <v>106188.45999999999</v>
      </c>
      <c r="F64" s="36">
        <f>+Tabla14[[#This Row],[Columna4]]</f>
        <v>105126.57539999999</v>
      </c>
      <c r="G64" s="36">
        <f>+Tabla14[[#This Row],[PRECIO  INSTALADOR
( CON  IVA)]]/0.7</f>
        <v>177942.39999999999</v>
      </c>
      <c r="H64" s="35">
        <f>+Tabla14[[#This Row],[PRECIO SUGERIDO INSTALADOR2]]*5%</f>
        <v>6227.9840000000004</v>
      </c>
      <c r="I64" s="29">
        <f t="shared" si="0"/>
        <v>25.682408247422678</v>
      </c>
      <c r="J64" s="29">
        <f t="shared" si="1"/>
        <v>21.894527835051544</v>
      </c>
      <c r="K64" s="34">
        <f t="shared" si="2"/>
        <v>21.675582556701027</v>
      </c>
      <c r="L64" s="34">
        <f t="shared" si="3"/>
        <v>21.675582556701027</v>
      </c>
      <c r="M64" s="34">
        <f t="shared" si="4"/>
        <v>105126.57539999999</v>
      </c>
      <c r="N64" s="33">
        <f t="shared" si="5"/>
        <v>1061.8845999999999</v>
      </c>
      <c r="O64" s="4">
        <f t="shared" si="6"/>
        <v>21.894527835051544</v>
      </c>
      <c r="P64" s="32">
        <f>Tabla14[[#This Row],[ORO SIN IVA]]*1.19</f>
        <v>106188.45999999999</v>
      </c>
      <c r="Q64" s="31">
        <f t="shared" si="7"/>
        <v>25.682408247422678</v>
      </c>
      <c r="R64" s="45">
        <f>Tabla14[[#This Row],[INSTALLER SIN IVA]]*1.19</f>
        <v>124559.67999999999</v>
      </c>
      <c r="S64" s="39">
        <v>89234</v>
      </c>
      <c r="T64" s="4">
        <v>104672</v>
      </c>
    </row>
    <row r="65" spans="1:20" ht="40.5" x14ac:dyDescent="0.25">
      <c r="A65" s="47" t="s">
        <v>284</v>
      </c>
      <c r="B65" s="46" t="s">
        <v>283</v>
      </c>
      <c r="C65" s="36">
        <f>+Tabla14[[#This Row],[PRECIO SUGERIDO INSTALADOR2]]</f>
        <v>125902</v>
      </c>
      <c r="D65" s="36">
        <f>+Tabla14[[#This Row],[PRECIO  INSTALADOR
( CON  IVA)]]-Tabla14[[#This Row],[Columna1]]</f>
        <v>119606.9</v>
      </c>
      <c r="E65" s="36">
        <f>+Tabla14[[#This Row],[DPP ORO2]]</f>
        <v>115829.84</v>
      </c>
      <c r="F65" s="36">
        <f>+Tabla14[[#This Row],[Columna4]]</f>
        <v>114671.5416</v>
      </c>
      <c r="G65" s="36">
        <f>+Tabla14[[#This Row],[PRECIO  INSTALADOR
( CON  IVA)]]/0.7</f>
        <v>179860</v>
      </c>
      <c r="H65" s="35">
        <f>+Tabla14[[#This Row],[PRECIO SUGERIDO INSTALADOR2]]*5%</f>
        <v>6295.1</v>
      </c>
      <c r="I65" s="29">
        <f t="shared" si="0"/>
        <v>25.95917525773196</v>
      </c>
      <c r="J65" s="29">
        <f t="shared" si="1"/>
        <v>23.882441237113401</v>
      </c>
      <c r="K65" s="34">
        <f t="shared" si="2"/>
        <v>23.643616824742267</v>
      </c>
      <c r="L65" s="34">
        <f t="shared" si="3"/>
        <v>23.643616824742267</v>
      </c>
      <c r="M65" s="34">
        <f t="shared" si="4"/>
        <v>114671.5416</v>
      </c>
      <c r="N65" s="33">
        <f t="shared" si="5"/>
        <v>1158.2983999999999</v>
      </c>
      <c r="O65" s="4">
        <f t="shared" si="6"/>
        <v>23.882441237113401</v>
      </c>
      <c r="P65" s="32">
        <f>Tabla14[[#This Row],[ORO SIN IVA]]*1.19</f>
        <v>115829.84</v>
      </c>
      <c r="Q65" s="31">
        <f t="shared" si="7"/>
        <v>25.95917525773196</v>
      </c>
      <c r="R65" s="45">
        <f>Tabla14[[#This Row],[INSTALLER SIN IVA]]*1.19</f>
        <v>125902</v>
      </c>
      <c r="S65" s="39">
        <f>Tabla14[[#This Row],[INSTALLER SIN IVA]]*0.92</f>
        <v>97336</v>
      </c>
      <c r="T65" s="4">
        <v>105800</v>
      </c>
    </row>
    <row r="66" spans="1:20" x14ac:dyDescent="0.25">
      <c r="A66" s="38" t="s">
        <v>282</v>
      </c>
      <c r="B66" s="37" t="s">
        <v>281</v>
      </c>
      <c r="C66" s="36">
        <f>+Tabla14[[#This Row],[PRECIO SUGERIDO INSTALADOR2]]</f>
        <v>122570</v>
      </c>
      <c r="D66" s="36">
        <f>+Tabla14[[#This Row],[PRECIO  INSTALADOR
( CON  IVA)]]-Tabla14[[#This Row],[Columna1]]</f>
        <v>116441.5</v>
      </c>
      <c r="E66" s="36">
        <f>+Tabla14[[#This Row],[DPP ORO2]]</f>
        <v>112764.4</v>
      </c>
      <c r="F66" s="36">
        <f>+Tabla14[[#This Row],[Columna4]]</f>
        <v>111636.75599999999</v>
      </c>
      <c r="G66" s="36">
        <f>+Tabla14[[#This Row],[PRECIO  INSTALADOR
( CON  IVA)]]/0.7</f>
        <v>175100</v>
      </c>
      <c r="H66" s="35">
        <f>+Tabla14[[#This Row],[PRECIO SUGERIDO INSTALADOR2]]*5%</f>
        <v>6128.5</v>
      </c>
      <c r="I66" s="29">
        <f t="shared" si="0"/>
        <v>25.272164948453607</v>
      </c>
      <c r="J66" s="29">
        <f t="shared" si="1"/>
        <v>23.250391752577318</v>
      </c>
      <c r="K66" s="34">
        <f t="shared" si="2"/>
        <v>23.017887835051546</v>
      </c>
      <c r="L66" s="34">
        <f t="shared" si="3"/>
        <v>23.017887835051546</v>
      </c>
      <c r="M66" s="34">
        <f t="shared" si="4"/>
        <v>111636.75599999999</v>
      </c>
      <c r="N66" s="33">
        <f t="shared" si="5"/>
        <v>1127.644</v>
      </c>
      <c r="O66" s="4">
        <f t="shared" si="6"/>
        <v>23.250391752577318</v>
      </c>
      <c r="P66" s="53">
        <f>Tabla14[[#This Row],[ORO SIN IVA]]*1.19</f>
        <v>112764.4</v>
      </c>
      <c r="Q66" s="31">
        <f t="shared" si="7"/>
        <v>25.272164948453607</v>
      </c>
      <c r="R66" s="52">
        <f>Tabla14[[#This Row],[INSTALLER SIN IVA]]*1.19</f>
        <v>122570</v>
      </c>
      <c r="S66" s="39">
        <f>Tabla14[[#This Row],[INSTALLER SIN IVA]]*0.92</f>
        <v>94760</v>
      </c>
      <c r="T66" s="4">
        <v>103000</v>
      </c>
    </row>
    <row r="67" spans="1:20" ht="27" x14ac:dyDescent="0.25">
      <c r="A67" s="47" t="s">
        <v>280</v>
      </c>
      <c r="B67" s="48" t="s">
        <v>279</v>
      </c>
      <c r="C67" s="36">
        <f>+Tabla14[[#This Row],[PRECIO SUGERIDO INSTALADOR2]]</f>
        <v>119468.86</v>
      </c>
      <c r="D67" s="36">
        <f>+Tabla14[[#This Row],[PRECIO  INSTALADOR
( CON  IVA)]]-Tabla14[[#This Row],[Columna1]]</f>
        <v>113495.417</v>
      </c>
      <c r="E67" s="36">
        <f>+Tabla14[[#This Row],[DPP ORO2]]</f>
        <v>101872.33</v>
      </c>
      <c r="F67" s="36">
        <f>+Tabla14[[#This Row],[Columna4]]</f>
        <v>100853.6067</v>
      </c>
      <c r="G67" s="36">
        <f>+Tabla14[[#This Row],[PRECIO  INSTALADOR
( CON  IVA)]]/0.7</f>
        <v>170669.80000000002</v>
      </c>
      <c r="H67" s="35">
        <f>+Tabla14[[#This Row],[PRECIO SUGERIDO INSTALADOR2]]*5%</f>
        <v>5973.4430000000002</v>
      </c>
      <c r="I67" s="29">
        <f t="shared" ref="I67:I130" si="8">+Q67</f>
        <v>24.632754639175257</v>
      </c>
      <c r="J67" s="29">
        <f t="shared" ref="J67:J130" si="9">+O67</f>
        <v>21.004604123711342</v>
      </c>
      <c r="K67" s="34">
        <f t="shared" ref="K67:K130" si="10">+L67</f>
        <v>20.794558082474229</v>
      </c>
      <c r="L67" s="34">
        <f t="shared" ref="L67:L130" si="11">+M67/$P$1</f>
        <v>20.794558082474229</v>
      </c>
      <c r="M67" s="34">
        <f t="shared" ref="M67:M130" si="12">+P67-N67</f>
        <v>100853.6067</v>
      </c>
      <c r="N67" s="33">
        <f t="shared" ref="N67:N130" si="13">+P67*1%</f>
        <v>1018.7233</v>
      </c>
      <c r="O67" s="4">
        <f t="shared" ref="O67:O130" si="14">+P67/$P$1</f>
        <v>21.004604123711342</v>
      </c>
      <c r="P67" s="32">
        <f>Tabla14[[#This Row],[ORO SIN IVA]]*1.19</f>
        <v>101872.33</v>
      </c>
      <c r="Q67" s="31">
        <f t="shared" ref="Q67:Q130" si="15">+R67/$P$1</f>
        <v>24.632754639175257</v>
      </c>
      <c r="R67" s="45">
        <f>Tabla14[[#This Row],[INSTALLER SIN IVA]]*1.19</f>
        <v>119468.86</v>
      </c>
      <c r="S67" s="39">
        <v>85607</v>
      </c>
      <c r="T67" s="4">
        <v>100394</v>
      </c>
    </row>
    <row r="68" spans="1:20" ht="15" x14ac:dyDescent="0.25">
      <c r="A68" s="38" t="s">
        <v>278</v>
      </c>
      <c r="B68" s="37" t="s">
        <v>277</v>
      </c>
      <c r="C68" s="36">
        <f>+Tabla14[[#This Row],[PRECIO SUGERIDO INSTALADOR2]]</f>
        <v>201972.75</v>
      </c>
      <c r="D68" s="36">
        <f>+Tabla14[[#This Row],[PRECIO  INSTALADOR
( CON  IVA)]]-Tabla14[[#This Row],[Columna1]]</f>
        <v>191874.11249999999</v>
      </c>
      <c r="E68" s="36">
        <f>+Tabla14[[#This Row],[DPP ORO2]]</f>
        <v>172147.78</v>
      </c>
      <c r="F68" s="36">
        <f>+Tabla14[[#This Row],[Columna4]]</f>
        <v>170426.30220000001</v>
      </c>
      <c r="G68" s="36">
        <f>+Tabla14[[#This Row],[PRECIO  INSTALADOR
( CON  IVA)]]/0.7</f>
        <v>288532.5</v>
      </c>
      <c r="H68" s="35">
        <f>+Tabla14[[#This Row],[PRECIO SUGERIDO INSTALADOR2]]*5%</f>
        <v>10098.637500000001</v>
      </c>
      <c r="I68" s="29">
        <f t="shared" si="8"/>
        <v>41.643865979381445</v>
      </c>
      <c r="J68" s="29">
        <f t="shared" si="9"/>
        <v>35.494387628865979</v>
      </c>
      <c r="K68" s="34">
        <f t="shared" si="10"/>
        <v>35.139443752577321</v>
      </c>
      <c r="L68" s="34">
        <f t="shared" si="11"/>
        <v>35.139443752577321</v>
      </c>
      <c r="M68" s="34">
        <f t="shared" si="12"/>
        <v>170426.30220000001</v>
      </c>
      <c r="N68" s="33">
        <f t="shared" si="13"/>
        <v>1721.4778000000001</v>
      </c>
      <c r="O68" s="4">
        <f t="shared" si="14"/>
        <v>35.494387628865979</v>
      </c>
      <c r="P68" s="32">
        <f>Tabla14[[#This Row],[ORO SIN IVA]]*1.19</f>
        <v>172147.78</v>
      </c>
      <c r="Q68" s="31">
        <f t="shared" si="15"/>
        <v>41.643865979381445</v>
      </c>
      <c r="R68" s="45">
        <f>Tabla14[[#This Row],[INSTALLER SIN IVA]]*1.19</f>
        <v>201972.75</v>
      </c>
      <c r="S68" s="39">
        <v>144662</v>
      </c>
      <c r="T68" s="4">
        <v>169725</v>
      </c>
    </row>
    <row r="69" spans="1:20" ht="27" x14ac:dyDescent="0.25">
      <c r="A69" s="38" t="s">
        <v>276</v>
      </c>
      <c r="B69" s="37" t="s">
        <v>275</v>
      </c>
      <c r="C69" s="36">
        <f>+Tabla14[[#This Row],[PRECIO SUGERIDO INSTALADOR2]]</f>
        <v>130535.86</v>
      </c>
      <c r="D69" s="36">
        <f>+Tabla14[[#This Row],[PRECIO  INSTALADOR
( CON  IVA)]]-Tabla14[[#This Row],[Columna1]]</f>
        <v>124009.067</v>
      </c>
      <c r="E69" s="36">
        <f>+Tabla14[[#This Row],[DPP ORO2]]</f>
        <v>111279.28</v>
      </c>
      <c r="F69" s="36">
        <f>+Tabla14[[#This Row],[Columna4]]</f>
        <v>110166.4872</v>
      </c>
      <c r="G69" s="36">
        <f>+Tabla14[[#This Row],[PRECIO  INSTALADOR
( CON  IVA)]]/0.7</f>
        <v>186479.80000000002</v>
      </c>
      <c r="H69" s="35">
        <f>+Tabla14[[#This Row],[PRECIO SUGERIDO INSTALADOR2]]*5%</f>
        <v>6526.7930000000006</v>
      </c>
      <c r="I69" s="29">
        <f t="shared" si="8"/>
        <v>26.914610309278352</v>
      </c>
      <c r="J69" s="29">
        <f t="shared" si="9"/>
        <v>22.944181443298969</v>
      </c>
      <c r="K69" s="34">
        <f t="shared" si="10"/>
        <v>22.714739628865981</v>
      </c>
      <c r="L69" s="34">
        <f t="shared" si="11"/>
        <v>22.714739628865981</v>
      </c>
      <c r="M69" s="34">
        <f t="shared" si="12"/>
        <v>110166.4872</v>
      </c>
      <c r="N69" s="33">
        <f t="shared" si="13"/>
        <v>1112.7927999999999</v>
      </c>
      <c r="O69" s="4">
        <f t="shared" si="14"/>
        <v>22.944181443298969</v>
      </c>
      <c r="P69" s="32">
        <f>Tabla14[[#This Row],[ORO SIN IVA]]*1.19</f>
        <v>111279.28</v>
      </c>
      <c r="Q69" s="31">
        <f t="shared" si="15"/>
        <v>26.914610309278352</v>
      </c>
      <c r="R69" s="45">
        <f>Tabla14[[#This Row],[INSTALLER SIN IVA]]*1.19</f>
        <v>130535.86</v>
      </c>
      <c r="S69" s="39">
        <v>93512</v>
      </c>
      <c r="T69" s="4">
        <v>109694</v>
      </c>
    </row>
    <row r="70" spans="1:20" ht="27" x14ac:dyDescent="0.25">
      <c r="A70" s="47" t="s">
        <v>274</v>
      </c>
      <c r="B70" s="48" t="s">
        <v>273</v>
      </c>
      <c r="C70" s="36">
        <f>+Tabla14[[#This Row],[PRECIO SUGERIDO INSTALADOR2]]</f>
        <v>121380</v>
      </c>
      <c r="D70" s="36">
        <f>+Tabla14[[#This Row],[PRECIO  INSTALADOR
( CON  IVA)]]-Tabla14[[#This Row],[Columna1]]</f>
        <v>115311</v>
      </c>
      <c r="E70" s="36">
        <f>+Tabla14[[#This Row],[DPP ORO2]]</f>
        <v>111669.59999999999</v>
      </c>
      <c r="F70" s="36">
        <f>+Tabla14[[#This Row],[Columna4]]</f>
        <v>110552.90399999999</v>
      </c>
      <c r="G70" s="36">
        <f>+Tabla14[[#This Row],[PRECIO  INSTALADOR
( CON  IVA)]]/0.7</f>
        <v>173400</v>
      </c>
      <c r="H70" s="35">
        <f>+Tabla14[[#This Row],[PRECIO SUGERIDO INSTALADOR2]]*5%</f>
        <v>6069</v>
      </c>
      <c r="I70" s="29">
        <f t="shared" si="8"/>
        <v>25.02680412371134</v>
      </c>
      <c r="J70" s="29">
        <f t="shared" si="9"/>
        <v>23.024659793814433</v>
      </c>
      <c r="K70" s="34">
        <f t="shared" si="10"/>
        <v>22.794413195876288</v>
      </c>
      <c r="L70" s="34">
        <f t="shared" si="11"/>
        <v>22.794413195876288</v>
      </c>
      <c r="M70" s="34">
        <f t="shared" si="12"/>
        <v>110552.90399999999</v>
      </c>
      <c r="N70" s="33">
        <f t="shared" si="13"/>
        <v>1116.6959999999999</v>
      </c>
      <c r="O70" s="4">
        <f t="shared" si="14"/>
        <v>23.024659793814433</v>
      </c>
      <c r="P70" s="32">
        <f>Tabla14[[#This Row],[ORO SIN IVA]]*1.19</f>
        <v>111669.59999999999</v>
      </c>
      <c r="Q70" s="31">
        <f t="shared" si="15"/>
        <v>25.02680412371134</v>
      </c>
      <c r="R70" s="45">
        <f>Tabla14[[#This Row],[INSTALLER SIN IVA]]*1.19</f>
        <v>121380</v>
      </c>
      <c r="S70" s="39">
        <f>Tabla14[[#This Row],[INSTALLER SIN IVA]]*0.92</f>
        <v>93840</v>
      </c>
      <c r="T70" s="4">
        <v>102000</v>
      </c>
    </row>
    <row r="71" spans="1:20" ht="27" x14ac:dyDescent="0.25">
      <c r="A71" s="38" t="s">
        <v>272</v>
      </c>
      <c r="B71" s="37" t="s">
        <v>271</v>
      </c>
      <c r="C71" s="36">
        <f>+Tabla14[[#This Row],[PRECIO SUGERIDO INSTALADOR2]]</f>
        <v>183158.85</v>
      </c>
      <c r="D71" s="36">
        <f>+Tabla14[[#This Row],[PRECIO  INSTALADOR
( CON  IVA)]]-Tabla14[[#This Row],[Columna1]]</f>
        <v>174000.9075</v>
      </c>
      <c r="E71" s="36">
        <f>+Tabla14[[#This Row],[DPP ORO2]]</f>
        <v>156100.63</v>
      </c>
      <c r="F71" s="36">
        <f>+Tabla14[[#This Row],[Columna4]]</f>
        <v>154539.6237</v>
      </c>
      <c r="G71" s="36">
        <f>+Tabla14[[#This Row],[PRECIO  INSTALADOR
( CON  IVA)]]/0.7</f>
        <v>261655.50000000003</v>
      </c>
      <c r="H71" s="35">
        <f>+Tabla14[[#This Row],[PRECIO SUGERIDO INSTALADOR2]]*5%</f>
        <v>9157.942500000001</v>
      </c>
      <c r="I71" s="29">
        <f t="shared" si="8"/>
        <v>37.764711340206183</v>
      </c>
      <c r="J71" s="29">
        <f t="shared" si="9"/>
        <v>32.185696907216496</v>
      </c>
      <c r="K71" s="34">
        <f t="shared" si="10"/>
        <v>31.863839938144331</v>
      </c>
      <c r="L71" s="34">
        <f t="shared" si="11"/>
        <v>31.863839938144331</v>
      </c>
      <c r="M71" s="34">
        <f t="shared" si="12"/>
        <v>154539.6237</v>
      </c>
      <c r="N71" s="33">
        <f t="shared" si="13"/>
        <v>1561.0063</v>
      </c>
      <c r="O71" s="4">
        <f t="shared" si="14"/>
        <v>32.185696907216496</v>
      </c>
      <c r="P71" s="32">
        <f>Tabla14[[#This Row],[ORO SIN IVA]]*1.19</f>
        <v>156100.63</v>
      </c>
      <c r="Q71" s="31">
        <f t="shared" si="15"/>
        <v>37.764711340206183</v>
      </c>
      <c r="R71" s="45">
        <f>Tabla14[[#This Row],[INSTALLER SIN IVA]]*1.19</f>
        <v>183158.85</v>
      </c>
      <c r="S71" s="39">
        <v>131177</v>
      </c>
      <c r="T71" s="4">
        <v>153915</v>
      </c>
    </row>
    <row r="72" spans="1:20" ht="40.5" x14ac:dyDescent="0.25">
      <c r="A72" s="47" t="s">
        <v>270</v>
      </c>
      <c r="B72" s="46" t="s">
        <v>269</v>
      </c>
      <c r="C72" s="36">
        <f>+Tabla14[[#This Row],[PRECIO SUGERIDO INSTALADOR2]]</f>
        <v>118362.15999999999</v>
      </c>
      <c r="D72" s="36">
        <f>+Tabla14[[#This Row],[PRECIO  INSTALADOR
( CON  IVA)]]-Tabla14[[#This Row],[Columna1]]</f>
        <v>112444.052</v>
      </c>
      <c r="E72" s="36">
        <f>+Tabla14[[#This Row],[DPP ORO2]]</f>
        <v>104720</v>
      </c>
      <c r="F72" s="36">
        <f>+Tabla14[[#This Row],[Columna4]]</f>
        <v>103672.8</v>
      </c>
      <c r="G72" s="36">
        <f>+Tabla14[[#This Row],[PRECIO  INSTALADOR
( CON  IVA)]]/0.7</f>
        <v>169088.8</v>
      </c>
      <c r="H72" s="35">
        <f>+Tabla14[[#This Row],[PRECIO SUGERIDO INSTALADOR2]]*5%</f>
        <v>5918.1080000000002</v>
      </c>
      <c r="I72" s="29">
        <f t="shared" si="8"/>
        <v>24.404569072164946</v>
      </c>
      <c r="J72" s="29">
        <f t="shared" si="9"/>
        <v>21.591752577319589</v>
      </c>
      <c r="K72" s="34">
        <f t="shared" si="10"/>
        <v>21.375835051546392</v>
      </c>
      <c r="L72" s="34">
        <f t="shared" si="11"/>
        <v>21.375835051546392</v>
      </c>
      <c r="M72" s="34">
        <f t="shared" si="12"/>
        <v>103672.8</v>
      </c>
      <c r="N72" s="33">
        <f t="shared" si="13"/>
        <v>1047.2</v>
      </c>
      <c r="O72" s="4">
        <f t="shared" si="14"/>
        <v>21.591752577319589</v>
      </c>
      <c r="P72" s="32">
        <f>Tabla14[[#This Row],[ORO SIN IVA]]*1.19</f>
        <v>104720</v>
      </c>
      <c r="Q72" s="31">
        <f t="shared" si="15"/>
        <v>24.404569072164946</v>
      </c>
      <c r="R72" s="45">
        <f>Tabla14[[#This Row],[INSTALLER SIN IVA]]*1.19</f>
        <v>118362.15999999999</v>
      </c>
      <c r="S72" s="39">
        <v>88000</v>
      </c>
      <c r="T72" s="4">
        <v>99464</v>
      </c>
    </row>
    <row r="73" spans="1:20" ht="27" x14ac:dyDescent="0.25">
      <c r="A73" s="38" t="s">
        <v>268</v>
      </c>
      <c r="B73" s="37" t="s">
        <v>267</v>
      </c>
      <c r="C73" s="36">
        <f>+Tabla14[[#This Row],[PRECIO SUGERIDO INSTALADOR2]]</f>
        <v>120298.29</v>
      </c>
      <c r="D73" s="36">
        <f>+Tabla14[[#This Row],[PRECIO  INSTALADOR
( CON  IVA)]]-Tabla14[[#This Row],[Columna1]]</f>
        <v>114283.37549999999</v>
      </c>
      <c r="E73" s="36">
        <f>+Tabla14[[#This Row],[DPP ORO2]]</f>
        <v>102536.34999999999</v>
      </c>
      <c r="F73" s="36">
        <f>+Tabla14[[#This Row],[Columna4]]</f>
        <v>101510.98649999998</v>
      </c>
      <c r="G73" s="36">
        <f>+Tabla14[[#This Row],[PRECIO  INSTALADOR
( CON  IVA)]]/0.7</f>
        <v>171854.7</v>
      </c>
      <c r="H73" s="35">
        <f>+Tabla14[[#This Row],[PRECIO SUGERIDO INSTALADOR2]]*5%</f>
        <v>6014.9144999999999</v>
      </c>
      <c r="I73" s="29">
        <f t="shared" si="8"/>
        <v>24.803771134020618</v>
      </c>
      <c r="J73" s="29">
        <f t="shared" si="9"/>
        <v>21.141515463917525</v>
      </c>
      <c r="K73" s="34">
        <f t="shared" si="10"/>
        <v>20.930100309278348</v>
      </c>
      <c r="L73" s="34">
        <f t="shared" si="11"/>
        <v>20.930100309278348</v>
      </c>
      <c r="M73" s="34">
        <f t="shared" si="12"/>
        <v>101510.98649999998</v>
      </c>
      <c r="N73" s="33">
        <f t="shared" si="13"/>
        <v>1025.3634999999999</v>
      </c>
      <c r="O73" s="4">
        <f t="shared" si="14"/>
        <v>21.141515463917525</v>
      </c>
      <c r="P73" s="32">
        <f>Tabla14[[#This Row],[ORO SIN IVA]]*1.19</f>
        <v>102536.34999999999</v>
      </c>
      <c r="Q73" s="31">
        <f t="shared" si="15"/>
        <v>24.803771134020618</v>
      </c>
      <c r="R73" s="45">
        <f>Tabla14[[#This Row],[INSTALLER SIN IVA]]*1.19</f>
        <v>120298.29</v>
      </c>
      <c r="S73" s="39">
        <v>86165</v>
      </c>
      <c r="T73" s="4">
        <v>101091</v>
      </c>
    </row>
    <row r="74" spans="1:20" ht="27" x14ac:dyDescent="0.25">
      <c r="A74" s="38" t="s">
        <v>266</v>
      </c>
      <c r="B74" s="37" t="s">
        <v>265</v>
      </c>
      <c r="C74" s="36">
        <f>+Tabla14[[#This Row],[PRECIO SUGERIDO INSTALADOR2]]</f>
        <v>333438</v>
      </c>
      <c r="D74" s="36">
        <f>+Tabla14[[#This Row],[PRECIO  INSTALADOR
( CON  IVA)]]-Tabla14[[#This Row],[Columna1]]</f>
        <v>316766.09999999998</v>
      </c>
      <c r="E74" s="36">
        <f>+Tabla14[[#This Row],[DPP ORO2]]</f>
        <v>333438</v>
      </c>
      <c r="F74" s="36">
        <f>+Tabla14[[#This Row],[Columna4]]</f>
        <v>330103.62</v>
      </c>
      <c r="G74" s="36">
        <f>+Tabla14[[#This Row],[PRECIO  INSTALADOR
( CON  IVA)]]/0.7</f>
        <v>476340.00000000006</v>
      </c>
      <c r="H74" s="35">
        <f>+Tabla14[[#This Row],[PRECIO SUGERIDO INSTALADOR2]]*5%</f>
        <v>16671.900000000001</v>
      </c>
      <c r="I74" s="29">
        <f t="shared" si="8"/>
        <v>68.750103092783505</v>
      </c>
      <c r="J74" s="29">
        <f t="shared" si="9"/>
        <v>68.750103092783505</v>
      </c>
      <c r="K74" s="34">
        <f t="shared" si="10"/>
        <v>68.062602061855671</v>
      </c>
      <c r="L74" s="34">
        <f t="shared" si="11"/>
        <v>68.062602061855671</v>
      </c>
      <c r="M74" s="34">
        <f t="shared" si="12"/>
        <v>330103.62</v>
      </c>
      <c r="N74" s="33">
        <f t="shared" si="13"/>
        <v>3334.38</v>
      </c>
      <c r="O74" s="4">
        <f t="shared" si="14"/>
        <v>68.750103092783505</v>
      </c>
      <c r="P74" s="32">
        <f>Tabla14[[#This Row],[ORO SIN IVA]]*1.19</f>
        <v>333438</v>
      </c>
      <c r="Q74" s="31">
        <f t="shared" si="15"/>
        <v>68.750103092783505</v>
      </c>
      <c r="R74" s="45">
        <f>Tabla14[[#This Row],[INSTALLER SIN IVA]]*1.19</f>
        <v>333438</v>
      </c>
      <c r="S74" s="57">
        <v>280200</v>
      </c>
      <c r="T74" s="4">
        <v>280200</v>
      </c>
    </row>
    <row r="75" spans="1:20" ht="40.5" x14ac:dyDescent="0.25">
      <c r="A75" s="38" t="s">
        <v>264</v>
      </c>
      <c r="B75" s="37" t="s">
        <v>263</v>
      </c>
      <c r="C75" s="36">
        <f>+Tabla14[[#This Row],[PRECIO SUGERIDO INSTALADOR2]]</f>
        <v>743204.98</v>
      </c>
      <c r="D75" s="36">
        <f>+Tabla14[[#This Row],[PRECIO  INSTALADOR
( CON  IVA)]]-Tabla14[[#This Row],[Columna1]]</f>
        <v>706044.73100000003</v>
      </c>
      <c r="E75" s="36">
        <f>+Tabla14[[#This Row],[DPP ORO2]]</f>
        <v>633641.67999999993</v>
      </c>
      <c r="F75" s="36">
        <f>+Tabla14[[#This Row],[Columna4]]</f>
        <v>627305.26319999993</v>
      </c>
      <c r="G75" s="36">
        <f>+Tabla14[[#This Row],[PRECIO  INSTALADOR
( CON  IVA)]]/0.7</f>
        <v>1061721.4000000001</v>
      </c>
      <c r="H75" s="35">
        <f>+Tabla14[[#This Row],[PRECIO SUGERIDO INSTALADOR2]]*5%</f>
        <v>37160.249000000003</v>
      </c>
      <c r="I75" s="29">
        <f t="shared" si="8"/>
        <v>153.23814020618556</v>
      </c>
      <c r="J75" s="29">
        <f t="shared" si="9"/>
        <v>130.64776907216495</v>
      </c>
      <c r="K75" s="34">
        <f t="shared" si="10"/>
        <v>129.34129138144328</v>
      </c>
      <c r="L75" s="34">
        <f t="shared" si="11"/>
        <v>129.34129138144328</v>
      </c>
      <c r="M75" s="34">
        <f t="shared" si="12"/>
        <v>627305.26319999993</v>
      </c>
      <c r="N75" s="33">
        <f t="shared" si="13"/>
        <v>6336.4167999999991</v>
      </c>
      <c r="O75" s="4">
        <f t="shared" si="14"/>
        <v>130.64776907216495</v>
      </c>
      <c r="P75" s="32">
        <f>Tabla14[[#This Row],[ORO SIN IVA]]*1.19</f>
        <v>633641.67999999993</v>
      </c>
      <c r="Q75" s="31">
        <f t="shared" si="15"/>
        <v>153.23814020618556</v>
      </c>
      <c r="R75" s="45">
        <f>Tabla14[[#This Row],[INSTALLER SIN IVA]]*1.19</f>
        <v>743204.98</v>
      </c>
      <c r="S75" s="39">
        <v>532472</v>
      </c>
      <c r="T75" s="4">
        <v>624542</v>
      </c>
    </row>
    <row r="76" spans="1:20" ht="67.5" x14ac:dyDescent="0.25">
      <c r="A76" s="38" t="s">
        <v>262</v>
      </c>
      <c r="B76" s="37" t="s">
        <v>261</v>
      </c>
      <c r="C76" s="36">
        <f>+Tabla14[[#This Row],[PRECIO SUGERIDO INSTALADOR2]]</f>
        <v>1449555.66</v>
      </c>
      <c r="D76" s="36">
        <f>+Tabla14[[#This Row],[PRECIO  INSTALADOR
( CON  IVA)]]-Tabla14[[#This Row],[Columna1]]</f>
        <v>1377077.8769999999</v>
      </c>
      <c r="E76" s="36">
        <f>+Tabla14[[#This Row],[DPP ORO2]]</f>
        <v>1235741.22</v>
      </c>
      <c r="F76" s="36">
        <f>+Tabla14[[#This Row],[Columna4]]</f>
        <v>1223383.8078000001</v>
      </c>
      <c r="G76" s="36">
        <f>+Tabla14[[#This Row],[PRECIO  INSTALADOR
( CON  IVA)]]/0.7</f>
        <v>2070793.8</v>
      </c>
      <c r="H76" s="35">
        <f>+Tabla14[[#This Row],[PRECIO SUGERIDO INSTALADOR2]]*5%</f>
        <v>72477.782999999996</v>
      </c>
      <c r="I76" s="29">
        <f t="shared" si="8"/>
        <v>298.87745567010307</v>
      </c>
      <c r="J76" s="29">
        <f t="shared" si="9"/>
        <v>254.79200412371134</v>
      </c>
      <c r="K76" s="34">
        <f t="shared" si="10"/>
        <v>252.24408408247425</v>
      </c>
      <c r="L76" s="34">
        <f t="shared" si="11"/>
        <v>252.24408408247425</v>
      </c>
      <c r="M76" s="34">
        <f t="shared" si="12"/>
        <v>1223383.8078000001</v>
      </c>
      <c r="N76" s="33">
        <f t="shared" si="13"/>
        <v>12357.412200000001</v>
      </c>
      <c r="O76" s="4">
        <f t="shared" si="14"/>
        <v>254.79200412371134</v>
      </c>
      <c r="P76" s="32">
        <f>Tabla14[[#This Row],[ORO SIN IVA]]*1.19</f>
        <v>1235741.22</v>
      </c>
      <c r="Q76" s="31">
        <f t="shared" si="15"/>
        <v>298.87745567010307</v>
      </c>
      <c r="R76" s="45">
        <f>Tabla14[[#This Row],[INSTALLER SIN IVA]]*1.19</f>
        <v>1449555.66</v>
      </c>
      <c r="S76" s="39">
        <v>1038438</v>
      </c>
      <c r="T76" s="4">
        <v>1218114</v>
      </c>
    </row>
    <row r="77" spans="1:20" ht="27" x14ac:dyDescent="0.25">
      <c r="A77" s="38" t="s">
        <v>260</v>
      </c>
      <c r="B77" s="37" t="s">
        <v>259</v>
      </c>
      <c r="C77" s="36">
        <f>+Tabla14[[#This Row],[PRECIO SUGERIDO INSTALADOR2]]</f>
        <v>102369.75</v>
      </c>
      <c r="D77" s="36">
        <f>+Tabla14[[#This Row],[PRECIO  INSTALADOR
( CON  IVA)]]-Tabla14[[#This Row],[Columna1]]</f>
        <v>97251.262499999997</v>
      </c>
      <c r="E77" s="36">
        <f>+Tabla14[[#This Row],[DPP ORO2]]</f>
        <v>87263.89</v>
      </c>
      <c r="F77" s="36">
        <f>+Tabla14[[#This Row],[Columna4]]</f>
        <v>86391.251099999994</v>
      </c>
      <c r="G77" s="36">
        <f>+Tabla14[[#This Row],[PRECIO  INSTALADOR
( CON  IVA)]]/0.7</f>
        <v>146242.5</v>
      </c>
      <c r="H77" s="35">
        <f>+Tabla14[[#This Row],[PRECIO SUGERIDO INSTALADOR2]]*5%</f>
        <v>5118.4875000000002</v>
      </c>
      <c r="I77" s="29">
        <f t="shared" si="8"/>
        <v>21.107164948453608</v>
      </c>
      <c r="J77" s="29">
        <f t="shared" si="9"/>
        <v>17.992554639175257</v>
      </c>
      <c r="K77" s="34">
        <f t="shared" si="10"/>
        <v>17.812629092783503</v>
      </c>
      <c r="L77" s="34">
        <f t="shared" si="11"/>
        <v>17.812629092783503</v>
      </c>
      <c r="M77" s="34">
        <f t="shared" si="12"/>
        <v>86391.251099999994</v>
      </c>
      <c r="N77" s="33">
        <f t="shared" si="13"/>
        <v>872.63890000000004</v>
      </c>
      <c r="O77" s="4">
        <f t="shared" si="14"/>
        <v>17.992554639175257</v>
      </c>
      <c r="P77" s="53">
        <f>Tabla14[[#This Row],[ORO SIN IVA]]*1.19</f>
        <v>87263.89</v>
      </c>
      <c r="Q77" s="31">
        <f t="shared" si="15"/>
        <v>21.107164948453608</v>
      </c>
      <c r="R77" s="52">
        <f>Tabla14[[#This Row],[INSTALLER SIN IVA]]*1.19</f>
        <v>102369.75</v>
      </c>
      <c r="S77" s="39">
        <v>73331</v>
      </c>
      <c r="T77" s="4">
        <v>86025</v>
      </c>
    </row>
    <row r="78" spans="1:20" ht="121.5" x14ac:dyDescent="0.25">
      <c r="A78" s="38" t="s">
        <v>258</v>
      </c>
      <c r="B78" s="37" t="s">
        <v>257</v>
      </c>
      <c r="C78" s="36">
        <f>+Tabla14[[#This Row],[PRECIO SUGERIDO INSTALADOR2]]</f>
        <v>215917.16999999998</v>
      </c>
      <c r="D78" s="36">
        <f>+Tabla14[[#This Row],[PRECIO  INSTALADOR
( CON  IVA)]]-Tabla14[[#This Row],[Columna1]]</f>
        <v>205121.31149999998</v>
      </c>
      <c r="E78" s="36">
        <f>+Tabla14[[#This Row],[DPP ORO2]]</f>
        <v>195338.5</v>
      </c>
      <c r="F78" s="36">
        <f>+Tabla14[[#This Row],[Columna4]]</f>
        <v>193385.11499999999</v>
      </c>
      <c r="G78" s="36">
        <f>+Tabla14[[#This Row],[PRECIO  INSTALADOR
( CON  IVA)]]/0.7</f>
        <v>308453.09999999998</v>
      </c>
      <c r="H78" s="35">
        <f>+Tabla14[[#This Row],[PRECIO SUGERIDO INSTALADOR2]]*5%</f>
        <v>10795.8585</v>
      </c>
      <c r="I78" s="29">
        <f t="shared" si="8"/>
        <v>44.519004123711333</v>
      </c>
      <c r="J78" s="29">
        <f t="shared" si="9"/>
        <v>40.2759793814433</v>
      </c>
      <c r="K78" s="34">
        <f t="shared" si="10"/>
        <v>39.873219587628867</v>
      </c>
      <c r="L78" s="34">
        <f t="shared" si="11"/>
        <v>39.873219587628867</v>
      </c>
      <c r="M78" s="34">
        <f t="shared" si="12"/>
        <v>193385.11499999999</v>
      </c>
      <c r="N78" s="33">
        <f t="shared" si="13"/>
        <v>1953.385</v>
      </c>
      <c r="O78" s="4">
        <f t="shared" si="14"/>
        <v>40.2759793814433</v>
      </c>
      <c r="P78" s="53">
        <f>Tabla14[[#This Row],[ORO SIN IVA]]*1.19</f>
        <v>195338.5</v>
      </c>
      <c r="Q78" s="31">
        <f t="shared" si="15"/>
        <v>44.519004123711333</v>
      </c>
      <c r="R78" s="52">
        <f>Tabla14[[#This Row],[INSTALLER SIN IVA]]*1.19</f>
        <v>215917.16999999998</v>
      </c>
      <c r="S78" s="39">
        <v>164150</v>
      </c>
      <c r="T78" s="4">
        <v>181443</v>
      </c>
    </row>
    <row r="79" spans="1:20" ht="121.5" x14ac:dyDescent="0.25">
      <c r="A79" s="38" t="s">
        <v>256</v>
      </c>
      <c r="B79" s="37" t="s">
        <v>255</v>
      </c>
      <c r="C79" s="36">
        <f>+Tabla14[[#This Row],[PRECIO SUGERIDO INSTALADOR2]]</f>
        <v>164732.88999999998</v>
      </c>
      <c r="D79" s="36">
        <f>+Tabla14[[#This Row],[PRECIO  INSTALADOR
( CON  IVA)]]-Tabla14[[#This Row],[Columna1]]</f>
        <v>156496.24549999999</v>
      </c>
      <c r="E79" s="36">
        <f>+Tabla14[[#This Row],[DPP ORO2]]</f>
        <v>150289.85999999999</v>
      </c>
      <c r="F79" s="36">
        <f>+Tabla14[[#This Row],[Columna4]]</f>
        <v>148786.9614</v>
      </c>
      <c r="G79" s="36">
        <f>+Tabla14[[#This Row],[PRECIO  INSTALADOR
( CON  IVA)]]/0.7</f>
        <v>235332.69999999998</v>
      </c>
      <c r="H79" s="35">
        <f>+Tabla14[[#This Row],[PRECIO SUGERIDO INSTALADOR2]]*5%</f>
        <v>8236.6445000000003</v>
      </c>
      <c r="I79" s="29">
        <f t="shared" si="8"/>
        <v>33.965544329896908</v>
      </c>
      <c r="J79" s="29">
        <f t="shared" si="9"/>
        <v>30.987599999999997</v>
      </c>
      <c r="K79" s="34">
        <f t="shared" si="10"/>
        <v>30.677724000000001</v>
      </c>
      <c r="L79" s="34">
        <f t="shared" si="11"/>
        <v>30.677724000000001</v>
      </c>
      <c r="M79" s="34">
        <f t="shared" si="12"/>
        <v>148786.9614</v>
      </c>
      <c r="N79" s="33">
        <f t="shared" si="13"/>
        <v>1502.8986</v>
      </c>
      <c r="O79" s="4">
        <f t="shared" si="14"/>
        <v>30.987599999999997</v>
      </c>
      <c r="P79" s="53">
        <f>Tabla14[[#This Row],[ORO SIN IVA]]*1.19</f>
        <v>150289.85999999999</v>
      </c>
      <c r="Q79" s="31">
        <f t="shared" si="15"/>
        <v>33.965544329896908</v>
      </c>
      <c r="R79" s="52">
        <f>Tabla14[[#This Row],[INSTALLER SIN IVA]]*1.19</f>
        <v>164732.88999999998</v>
      </c>
      <c r="S79" s="39">
        <v>126294</v>
      </c>
      <c r="T79" s="4">
        <v>138431</v>
      </c>
    </row>
    <row r="80" spans="1:20" ht="40.5" x14ac:dyDescent="0.25">
      <c r="A80" s="56" t="s">
        <v>254</v>
      </c>
      <c r="B80" s="37" t="s">
        <v>253</v>
      </c>
      <c r="C80" s="36">
        <f>+Tabla14[[#This Row],[PRECIO SUGERIDO INSTALADOR2]]</f>
        <v>1755946.15</v>
      </c>
      <c r="D80" s="36">
        <f>+Tabla14[[#This Row],[PRECIO  INSTALADOR
( CON  IVA)]]-Tabla14[[#This Row],[Columna1]]</f>
        <v>1668148.8424999998</v>
      </c>
      <c r="E80" s="36">
        <f>+Tabla14[[#This Row],[DPP ORO2]]</f>
        <v>1446180.8199999998</v>
      </c>
      <c r="F80" s="36">
        <f>+Tabla14[[#This Row],[Columna4]]</f>
        <v>1431719.0117999997</v>
      </c>
      <c r="G80" s="36">
        <f>+Tabla14[[#This Row],[PRECIO  INSTALADOR
( CON  IVA)]]/0.7</f>
        <v>2508494.5</v>
      </c>
      <c r="H80" s="35">
        <f>+Tabla14[[#This Row],[PRECIO SUGERIDO INSTALADOR2]]*5%</f>
        <v>87797.307499999995</v>
      </c>
      <c r="I80" s="29">
        <f t="shared" si="8"/>
        <v>362.05075257731954</v>
      </c>
      <c r="J80" s="29">
        <f t="shared" si="9"/>
        <v>298.18161237113401</v>
      </c>
      <c r="K80" s="34">
        <f t="shared" si="10"/>
        <v>295.19979624742263</v>
      </c>
      <c r="L80" s="34">
        <f t="shared" si="11"/>
        <v>295.19979624742263</v>
      </c>
      <c r="M80" s="34">
        <f t="shared" si="12"/>
        <v>1431719.0117999997</v>
      </c>
      <c r="N80" s="33">
        <f t="shared" si="13"/>
        <v>14461.808199999999</v>
      </c>
      <c r="O80" s="4">
        <f t="shared" si="14"/>
        <v>298.18161237113401</v>
      </c>
      <c r="P80" s="53">
        <f>Tabla14[[#This Row],[ORO SIN IVA]]*1.19</f>
        <v>1446180.8199999998</v>
      </c>
      <c r="Q80" s="31">
        <f t="shared" si="15"/>
        <v>362.05075257731954</v>
      </c>
      <c r="R80" s="52">
        <f>Tabla14[[#This Row],[INSTALLER SIN IVA]]*1.19</f>
        <v>1755946.15</v>
      </c>
      <c r="S80" s="55">
        <v>1215278</v>
      </c>
      <c r="T80" s="54">
        <v>1475585</v>
      </c>
    </row>
    <row r="81" spans="1:20" ht="40.5" x14ac:dyDescent="0.25">
      <c r="A81" s="47" t="s">
        <v>252</v>
      </c>
      <c r="B81" s="46" t="s">
        <v>251</v>
      </c>
      <c r="C81" s="36">
        <f>+Tabla14[[#This Row],[PRECIO SUGERIDO INSTALADOR2]]</f>
        <v>134962.66</v>
      </c>
      <c r="D81" s="36">
        <f>+Tabla14[[#This Row],[PRECIO  INSTALADOR
( CON  IVA)]]-Tabla14[[#This Row],[Columna1]]</f>
        <v>128214.527</v>
      </c>
      <c r="E81" s="36">
        <f>+Tabla14[[#This Row],[DPP ORO2]]</f>
        <v>115042.06</v>
      </c>
      <c r="F81" s="36">
        <f>+Tabla14[[#This Row],[Columna4]]</f>
        <v>113891.6394</v>
      </c>
      <c r="G81" s="36">
        <f>+Tabla14[[#This Row],[PRECIO  INSTALADOR
( CON  IVA)]]/0.7</f>
        <v>192803.80000000002</v>
      </c>
      <c r="H81" s="35">
        <f>+Tabla14[[#This Row],[PRECIO SUGERIDO INSTALADOR2]]*5%</f>
        <v>6748.1330000000007</v>
      </c>
      <c r="I81" s="29">
        <f t="shared" si="8"/>
        <v>27.827352577319587</v>
      </c>
      <c r="J81" s="29">
        <f t="shared" si="9"/>
        <v>23.720012371134022</v>
      </c>
      <c r="K81" s="34">
        <f t="shared" si="10"/>
        <v>23.482812247422679</v>
      </c>
      <c r="L81" s="34">
        <f t="shared" si="11"/>
        <v>23.482812247422679</v>
      </c>
      <c r="M81" s="34">
        <f t="shared" si="12"/>
        <v>113891.6394</v>
      </c>
      <c r="N81" s="33">
        <f t="shared" si="13"/>
        <v>1150.4205999999999</v>
      </c>
      <c r="O81" s="4">
        <f t="shared" si="14"/>
        <v>23.720012371134022</v>
      </c>
      <c r="P81" s="32">
        <f>Tabla14[[#This Row],[ORO SIN IVA]]*1.19</f>
        <v>115042.06</v>
      </c>
      <c r="Q81" s="31">
        <f t="shared" si="15"/>
        <v>27.827352577319587</v>
      </c>
      <c r="R81" s="45">
        <f>Tabla14[[#This Row],[INSTALLER SIN IVA]]*1.19</f>
        <v>134962.66</v>
      </c>
      <c r="S81" s="39">
        <v>96674</v>
      </c>
      <c r="T81" s="4">
        <v>113414</v>
      </c>
    </row>
    <row r="82" spans="1:20" ht="27" x14ac:dyDescent="0.25">
      <c r="A82" s="47" t="s">
        <v>250</v>
      </c>
      <c r="B82" s="48" t="s">
        <v>249</v>
      </c>
      <c r="C82" s="36">
        <f>+Tabla14[[#This Row],[PRECIO SUGERIDO INSTALADOR2]]</f>
        <v>110283.25</v>
      </c>
      <c r="D82" s="36">
        <f>+Tabla14[[#This Row],[PRECIO  INSTALADOR
( CON  IVA)]]-Tabla14[[#This Row],[Columna1]]</f>
        <v>104769.08749999999</v>
      </c>
      <c r="E82" s="36">
        <f>+Tabla14[[#This Row],[DPP ORO2]]</f>
        <v>94014.76</v>
      </c>
      <c r="F82" s="36">
        <f>+Tabla14[[#This Row],[Columna4]]</f>
        <v>93074.612399999998</v>
      </c>
      <c r="G82" s="36">
        <f>+Tabla14[[#This Row],[PRECIO  INSTALADOR
( CON  IVA)]]/0.7</f>
        <v>157547.5</v>
      </c>
      <c r="H82" s="35">
        <f>+Tabla14[[#This Row],[PRECIO SUGERIDO INSTALADOR2]]*5%</f>
        <v>5514.1625000000004</v>
      </c>
      <c r="I82" s="29">
        <f t="shared" si="8"/>
        <v>22.738814432989692</v>
      </c>
      <c r="J82" s="29">
        <f t="shared" si="9"/>
        <v>19.384486597938142</v>
      </c>
      <c r="K82" s="34">
        <f t="shared" si="10"/>
        <v>19.190641731958763</v>
      </c>
      <c r="L82" s="34">
        <f t="shared" si="11"/>
        <v>19.190641731958763</v>
      </c>
      <c r="M82" s="34">
        <f t="shared" si="12"/>
        <v>93074.612399999998</v>
      </c>
      <c r="N82" s="33">
        <f t="shared" si="13"/>
        <v>940.14760000000001</v>
      </c>
      <c r="O82" s="4">
        <f t="shared" si="14"/>
        <v>19.384486597938142</v>
      </c>
      <c r="P82" s="32">
        <f>Tabla14[[#This Row],[ORO SIN IVA]]*1.19</f>
        <v>94014.76</v>
      </c>
      <c r="Q82" s="31">
        <f t="shared" si="15"/>
        <v>22.738814432989692</v>
      </c>
      <c r="R82" s="45">
        <f>Tabla14[[#This Row],[INSTALLER SIN IVA]]*1.19</f>
        <v>110283.25</v>
      </c>
      <c r="S82" s="39">
        <v>79004</v>
      </c>
      <c r="T82" s="4">
        <v>92675</v>
      </c>
    </row>
    <row r="83" spans="1:20" ht="27" x14ac:dyDescent="0.25">
      <c r="A83" s="38" t="s">
        <v>248</v>
      </c>
      <c r="B83" s="37" t="s">
        <v>247</v>
      </c>
      <c r="C83" s="36">
        <f>+Tabla14[[#This Row],[PRECIO SUGERIDO INSTALADOR2]]</f>
        <v>1021650.7</v>
      </c>
      <c r="D83" s="36">
        <f>+Tabla14[[#This Row],[PRECIO  INSTALADOR
( CON  IVA)]]-Tabla14[[#This Row],[Columna1]]</f>
        <v>970568.16499999992</v>
      </c>
      <c r="E83" s="36">
        <f>+Tabla14[[#This Row],[DPP ORO2]]</f>
        <v>870972.89999999991</v>
      </c>
      <c r="F83" s="36">
        <f>+Tabla14[[#This Row],[Columna4]]</f>
        <v>862263.17099999986</v>
      </c>
      <c r="G83" s="36">
        <f>+Tabla14[[#This Row],[PRECIO  INSTALADOR
( CON  IVA)]]/0.7</f>
        <v>1459501</v>
      </c>
      <c r="H83" s="35">
        <f>+Tabla14[[#This Row],[PRECIO SUGERIDO INSTALADOR2]]*5%</f>
        <v>51082.535000000003</v>
      </c>
      <c r="I83" s="29">
        <f t="shared" si="8"/>
        <v>210.64962886597937</v>
      </c>
      <c r="J83" s="29">
        <f t="shared" si="9"/>
        <v>179.58204123711337</v>
      </c>
      <c r="K83" s="34">
        <f t="shared" si="10"/>
        <v>177.78622082474223</v>
      </c>
      <c r="L83" s="34">
        <f t="shared" si="11"/>
        <v>177.78622082474223</v>
      </c>
      <c r="M83" s="34">
        <f t="shared" si="12"/>
        <v>862263.17099999986</v>
      </c>
      <c r="N83" s="33">
        <f t="shared" si="13"/>
        <v>8709.7289999999994</v>
      </c>
      <c r="O83" s="4">
        <f t="shared" si="14"/>
        <v>179.58204123711337</v>
      </c>
      <c r="P83" s="53">
        <f>Tabla14[[#This Row],[ORO SIN IVA]]*1.19</f>
        <v>870972.89999999991</v>
      </c>
      <c r="Q83" s="31">
        <f t="shared" si="15"/>
        <v>210.64962886597937</v>
      </c>
      <c r="R83" s="52">
        <f>Tabla14[[#This Row],[INSTALLER SIN IVA]]*1.19</f>
        <v>1021650.7</v>
      </c>
      <c r="S83" s="39">
        <v>731910</v>
      </c>
      <c r="T83" s="4">
        <v>858530</v>
      </c>
    </row>
    <row r="84" spans="1:20" ht="27" x14ac:dyDescent="0.25">
      <c r="A84" s="47" t="s">
        <v>246</v>
      </c>
      <c r="B84" s="48" t="s">
        <v>245</v>
      </c>
      <c r="C84" s="36">
        <f>+Tabla14[[#This Row],[PRECIO SUGERIDO INSTALADOR2]]</f>
        <v>1100779.75</v>
      </c>
      <c r="D84" s="36">
        <f>+Tabla14[[#This Row],[PRECIO  INSTALADOR
( CON  IVA)]]-Tabla14[[#This Row],[Columna1]]</f>
        <v>1045740.7625</v>
      </c>
      <c r="E84" s="36">
        <f>+Tabla14[[#This Row],[DPP ORO2]]</f>
        <v>938426.86</v>
      </c>
      <c r="F84" s="36">
        <f>+Tabla14[[#This Row],[Columna4]]</f>
        <v>929042.59140000003</v>
      </c>
      <c r="G84" s="36">
        <f>+Tabla14[[#This Row],[PRECIO  INSTALADOR
( CON  IVA)]]/0.7</f>
        <v>1572542.5</v>
      </c>
      <c r="H84" s="35">
        <f>+Tabla14[[#This Row],[PRECIO SUGERIDO INSTALADOR2]]*5%</f>
        <v>55038.987500000003</v>
      </c>
      <c r="I84" s="29">
        <f t="shared" si="8"/>
        <v>226.96489690721648</v>
      </c>
      <c r="J84" s="29">
        <f t="shared" si="9"/>
        <v>193.49007422680413</v>
      </c>
      <c r="K84" s="34">
        <f t="shared" si="10"/>
        <v>191.55517348453608</v>
      </c>
      <c r="L84" s="34">
        <f t="shared" si="11"/>
        <v>191.55517348453608</v>
      </c>
      <c r="M84" s="34">
        <f t="shared" si="12"/>
        <v>929042.59140000003</v>
      </c>
      <c r="N84" s="33">
        <f t="shared" si="13"/>
        <v>9384.2685999999994</v>
      </c>
      <c r="O84" s="4">
        <f t="shared" si="14"/>
        <v>193.49007422680413</v>
      </c>
      <c r="P84" s="32">
        <f>Tabla14[[#This Row],[ORO SIN IVA]]*1.19</f>
        <v>938426.86</v>
      </c>
      <c r="Q84" s="31">
        <f t="shared" si="15"/>
        <v>226.96489690721648</v>
      </c>
      <c r="R84" s="45">
        <f>Tabla14[[#This Row],[INSTALLER SIN IVA]]*1.19</f>
        <v>1100779.75</v>
      </c>
      <c r="S84" s="39">
        <v>788594</v>
      </c>
      <c r="T84" s="4">
        <v>925025</v>
      </c>
    </row>
    <row r="85" spans="1:20" ht="27" x14ac:dyDescent="0.25">
      <c r="A85" s="38" t="s">
        <v>244</v>
      </c>
      <c r="B85" s="37" t="s">
        <v>243</v>
      </c>
      <c r="C85" s="36">
        <f>+Tabla14[[#This Row],[PRECIO SUGERIDO INSTALADOR2]]</f>
        <v>1433287.17</v>
      </c>
      <c r="D85" s="36">
        <f>+Tabla14[[#This Row],[PRECIO  INSTALADOR
( CON  IVA)]]-Tabla14[[#This Row],[Columna1]]</f>
        <v>1361622.8114999998</v>
      </c>
      <c r="E85" s="36">
        <f>+Tabla14[[#This Row],[DPP ORO2]]</f>
        <v>1221907.47</v>
      </c>
      <c r="F85" s="36">
        <f>+Tabla14[[#This Row],[Columna4]]</f>
        <v>1209688.3953</v>
      </c>
      <c r="G85" s="36">
        <f>+Tabla14[[#This Row],[PRECIO  INSTALADOR
( CON  IVA)]]/0.7</f>
        <v>2047553.1</v>
      </c>
      <c r="H85" s="35">
        <f>+Tabla14[[#This Row],[PRECIO SUGERIDO INSTALADOR2]]*5%</f>
        <v>71664.358500000002</v>
      </c>
      <c r="I85" s="29">
        <f t="shared" si="8"/>
        <v>295.52312783505153</v>
      </c>
      <c r="J85" s="29">
        <f t="shared" si="9"/>
        <v>251.93968453608247</v>
      </c>
      <c r="K85" s="34">
        <f t="shared" si="10"/>
        <v>249.42028769072164</v>
      </c>
      <c r="L85" s="34">
        <f t="shared" si="11"/>
        <v>249.42028769072164</v>
      </c>
      <c r="M85" s="34">
        <f t="shared" si="12"/>
        <v>1209688.3953</v>
      </c>
      <c r="N85" s="33">
        <f t="shared" si="13"/>
        <v>12219.074699999999</v>
      </c>
      <c r="O85" s="4">
        <f t="shared" si="14"/>
        <v>251.93968453608247</v>
      </c>
      <c r="P85" s="32">
        <f>Tabla14[[#This Row],[ORO SIN IVA]]*1.19</f>
        <v>1221907.47</v>
      </c>
      <c r="Q85" s="31">
        <f t="shared" si="15"/>
        <v>295.52312783505153</v>
      </c>
      <c r="R85" s="45">
        <f>Tabla14[[#This Row],[INSTALLER SIN IVA]]*1.19</f>
        <v>1433287.17</v>
      </c>
      <c r="S85" s="39">
        <v>1026813</v>
      </c>
      <c r="T85" s="4">
        <v>1204443</v>
      </c>
    </row>
    <row r="86" spans="1:20" ht="40.5" x14ac:dyDescent="0.25">
      <c r="A86" s="47" t="s">
        <v>242</v>
      </c>
      <c r="B86" s="46" t="s">
        <v>241</v>
      </c>
      <c r="C86" s="36">
        <f>+Tabla14[[#This Row],[PRECIO SUGERIDO INSTALADOR2]]</f>
        <v>122014.26999999999</v>
      </c>
      <c r="D86" s="36">
        <f>+Tabla14[[#This Row],[PRECIO  INSTALADOR
( CON  IVA)]]-Tabla14[[#This Row],[Columna1]]</f>
        <v>115913.55649999999</v>
      </c>
      <c r="E86" s="36">
        <f>+Tabla14[[#This Row],[DPP ORO2]]</f>
        <v>104029.79999999999</v>
      </c>
      <c r="F86" s="36">
        <f>+Tabla14[[#This Row],[Columna4]]</f>
        <v>102989.50199999999</v>
      </c>
      <c r="G86" s="36">
        <f>+Tabla14[[#This Row],[PRECIO  INSTALADOR
( CON  IVA)]]/0.7</f>
        <v>174306.1</v>
      </c>
      <c r="H86" s="35">
        <f>+Tabla14[[#This Row],[PRECIO SUGERIDO INSTALADOR2]]*5%</f>
        <v>6100.7134999999998</v>
      </c>
      <c r="I86" s="29">
        <f t="shared" si="8"/>
        <v>25.157581443298966</v>
      </c>
      <c r="J86" s="29">
        <f t="shared" si="9"/>
        <v>21.449443298969069</v>
      </c>
      <c r="K86" s="34">
        <f t="shared" si="10"/>
        <v>21.23494886597938</v>
      </c>
      <c r="L86" s="34">
        <f t="shared" si="11"/>
        <v>21.23494886597938</v>
      </c>
      <c r="M86" s="34">
        <f t="shared" si="12"/>
        <v>102989.50199999999</v>
      </c>
      <c r="N86" s="33">
        <f t="shared" si="13"/>
        <v>1040.298</v>
      </c>
      <c r="O86" s="4">
        <f t="shared" si="14"/>
        <v>21.449443298969069</v>
      </c>
      <c r="P86" s="32">
        <f>Tabla14[[#This Row],[ORO SIN IVA]]*1.19</f>
        <v>104029.79999999999</v>
      </c>
      <c r="Q86" s="31">
        <f t="shared" si="15"/>
        <v>25.157581443298966</v>
      </c>
      <c r="R86" s="45">
        <f>Tabla14[[#This Row],[INSTALLER SIN IVA]]*1.19</f>
        <v>122014.26999999999</v>
      </c>
      <c r="S86" s="39">
        <v>87420</v>
      </c>
      <c r="T86" s="4">
        <v>102533</v>
      </c>
    </row>
    <row r="87" spans="1:20" ht="27" x14ac:dyDescent="0.25">
      <c r="A87" s="38" t="s">
        <v>240</v>
      </c>
      <c r="B87" s="37" t="s">
        <v>239</v>
      </c>
      <c r="C87" s="36">
        <f>+Tabla14[[#This Row],[PRECIO SUGERIDO INSTALADOR2]]</f>
        <v>130535.86</v>
      </c>
      <c r="D87" s="36">
        <f>+Tabla14[[#This Row],[PRECIO  INSTALADOR
( CON  IVA)]]-Tabla14[[#This Row],[Columna1]]</f>
        <v>124009.067</v>
      </c>
      <c r="E87" s="36">
        <f>+Tabla14[[#This Row],[DPP ORO2]]</f>
        <v>111279.28</v>
      </c>
      <c r="F87" s="36">
        <f>+Tabla14[[#This Row],[Columna4]]</f>
        <v>110166.4872</v>
      </c>
      <c r="G87" s="36">
        <f>+Tabla14[[#This Row],[PRECIO  INSTALADOR
( CON  IVA)]]/0.7</f>
        <v>186479.80000000002</v>
      </c>
      <c r="H87" s="35">
        <f>+Tabla14[[#This Row],[PRECIO SUGERIDO INSTALADOR2]]*5%</f>
        <v>6526.7930000000006</v>
      </c>
      <c r="I87" s="29">
        <f t="shared" si="8"/>
        <v>26.914610309278352</v>
      </c>
      <c r="J87" s="29">
        <f t="shared" si="9"/>
        <v>22.944181443298969</v>
      </c>
      <c r="K87" s="34">
        <f t="shared" si="10"/>
        <v>22.714739628865981</v>
      </c>
      <c r="L87" s="34">
        <f t="shared" si="11"/>
        <v>22.714739628865981</v>
      </c>
      <c r="M87" s="34">
        <f t="shared" si="12"/>
        <v>110166.4872</v>
      </c>
      <c r="N87" s="33">
        <f t="shared" si="13"/>
        <v>1112.7927999999999</v>
      </c>
      <c r="O87" s="4">
        <f t="shared" si="14"/>
        <v>22.944181443298969</v>
      </c>
      <c r="P87" s="32">
        <f>Tabla14[[#This Row],[ORO SIN IVA]]*1.19</f>
        <v>111279.28</v>
      </c>
      <c r="Q87" s="31">
        <f t="shared" si="15"/>
        <v>26.914610309278352</v>
      </c>
      <c r="R87" s="45">
        <f>Tabla14[[#This Row],[INSTALLER SIN IVA]]*1.19</f>
        <v>130535.86</v>
      </c>
      <c r="S87" s="39">
        <v>93512</v>
      </c>
      <c r="T87" s="4">
        <v>109694</v>
      </c>
    </row>
    <row r="88" spans="1:20" ht="40.5" x14ac:dyDescent="0.25">
      <c r="A88" s="38" t="s">
        <v>238</v>
      </c>
      <c r="B88" s="51" t="s">
        <v>237</v>
      </c>
      <c r="C88" s="36">
        <f>+Tabla14[[#This Row],[PRECIO SUGERIDO INSTALADOR2]]</f>
        <v>185870.86</v>
      </c>
      <c r="D88" s="36">
        <f>+Tabla14[[#This Row],[PRECIO  INSTALADOR
( CON  IVA)]]-Tabla14[[#This Row],[Columna1]]</f>
        <v>176577.31699999998</v>
      </c>
      <c r="E88" s="36">
        <f>+Tabla14[[#This Row],[DPP ORO2]]</f>
        <v>158424.69999999998</v>
      </c>
      <c r="F88" s="36">
        <f>+Tabla14[[#This Row],[Columna4]]</f>
        <v>156840.45299999998</v>
      </c>
      <c r="G88" s="36">
        <f>+Tabla14[[#This Row],[PRECIO  INSTALADOR
( CON  IVA)]]/0.7</f>
        <v>265529.8</v>
      </c>
      <c r="H88" s="35">
        <f>+Tabla14[[#This Row],[PRECIO SUGERIDO INSTALADOR2]]*5%</f>
        <v>9293.5429999999997</v>
      </c>
      <c r="I88" s="29">
        <f t="shared" si="8"/>
        <v>38.323888659793809</v>
      </c>
      <c r="J88" s="29">
        <f t="shared" si="9"/>
        <v>32.664886597938143</v>
      </c>
      <c r="K88" s="34">
        <f t="shared" si="10"/>
        <v>32.338237731958756</v>
      </c>
      <c r="L88" s="34">
        <f t="shared" si="11"/>
        <v>32.338237731958756</v>
      </c>
      <c r="M88" s="34">
        <f t="shared" si="12"/>
        <v>156840.45299999998</v>
      </c>
      <c r="N88" s="33">
        <f t="shared" si="13"/>
        <v>1584.2469999999998</v>
      </c>
      <c r="O88" s="4">
        <f t="shared" si="14"/>
        <v>32.664886597938143</v>
      </c>
      <c r="P88" s="32">
        <f>Tabla14[[#This Row],[ORO SIN IVA]]*1.19</f>
        <v>158424.69999999998</v>
      </c>
      <c r="Q88" s="31">
        <f t="shared" si="15"/>
        <v>38.323888659793809</v>
      </c>
      <c r="R88" s="45">
        <f>Tabla14[[#This Row],[INSTALLER SIN IVA]]*1.19</f>
        <v>185870.86</v>
      </c>
      <c r="S88" s="39">
        <v>133130</v>
      </c>
      <c r="T88" s="4">
        <v>156194</v>
      </c>
    </row>
    <row r="89" spans="1:20" ht="94.5" x14ac:dyDescent="0.25">
      <c r="A89" s="38" t="s">
        <v>236</v>
      </c>
      <c r="B89" s="37" t="s">
        <v>235</v>
      </c>
      <c r="C89" s="36">
        <f>+Tabla14[[#This Row],[PRECIO SUGERIDO INSTALADOR2]]</f>
        <v>178013.28999999998</v>
      </c>
      <c r="D89" s="36">
        <f>+Tabla14[[#This Row],[PRECIO  INSTALADOR
( CON  IVA)]]-Tabla14[[#This Row],[Columna1]]</f>
        <v>169112.62549999997</v>
      </c>
      <c r="E89" s="36">
        <f>+Tabla14[[#This Row],[DPP ORO2]]</f>
        <v>151784.5</v>
      </c>
      <c r="F89" s="36">
        <f>+Tabla14[[#This Row],[Columna4]]</f>
        <v>150266.655</v>
      </c>
      <c r="G89" s="36">
        <f>+Tabla14[[#This Row],[PRECIO  INSTALADOR
( CON  IVA)]]/0.7</f>
        <v>254304.69999999998</v>
      </c>
      <c r="H89" s="35">
        <f>+Tabla14[[#This Row],[PRECIO SUGERIDO INSTALADOR2]]*5%</f>
        <v>8900.664499999999</v>
      </c>
      <c r="I89" s="29">
        <f t="shared" si="8"/>
        <v>36.703771134020613</v>
      </c>
      <c r="J89" s="29">
        <f t="shared" si="9"/>
        <v>31.29577319587629</v>
      </c>
      <c r="K89" s="34">
        <f t="shared" si="10"/>
        <v>30.982815463917525</v>
      </c>
      <c r="L89" s="34">
        <f t="shared" si="11"/>
        <v>30.982815463917525</v>
      </c>
      <c r="M89" s="34">
        <f t="shared" si="12"/>
        <v>150266.655</v>
      </c>
      <c r="N89" s="33">
        <f t="shared" si="13"/>
        <v>1517.845</v>
      </c>
      <c r="O89" s="4">
        <f t="shared" si="14"/>
        <v>31.29577319587629</v>
      </c>
      <c r="P89" s="32">
        <f>Tabla14[[#This Row],[ORO SIN IVA]]*1.19</f>
        <v>151784.5</v>
      </c>
      <c r="Q89" s="31">
        <f t="shared" si="15"/>
        <v>36.703771134020613</v>
      </c>
      <c r="R89" s="45">
        <f>Tabla14[[#This Row],[INSTALLER SIN IVA]]*1.19</f>
        <v>178013.28999999998</v>
      </c>
      <c r="S89" s="39">
        <v>127550</v>
      </c>
      <c r="T89" s="4">
        <v>149591</v>
      </c>
    </row>
    <row r="90" spans="1:20" ht="27" x14ac:dyDescent="0.25">
      <c r="A90" s="38" t="s">
        <v>234</v>
      </c>
      <c r="B90" s="37" t="s">
        <v>233</v>
      </c>
      <c r="C90" s="36">
        <f>+Tabla14[[#This Row],[PRECIO SUGERIDO INSTALADOR2]]</f>
        <v>203411.46</v>
      </c>
      <c r="D90" s="36">
        <f>+Tabla14[[#This Row],[PRECIO  INSTALADOR
( CON  IVA)]]-Tabla14[[#This Row],[Columna1]]</f>
        <v>193240.88699999999</v>
      </c>
      <c r="E90" s="36">
        <f>+Tabla14[[#This Row],[DPP ORO2]]</f>
        <v>173419.88999999998</v>
      </c>
      <c r="F90" s="36">
        <f>+Tabla14[[#This Row],[Columna4]]</f>
        <v>171685.6911</v>
      </c>
      <c r="G90" s="36">
        <f>+Tabla14[[#This Row],[PRECIO  INSTALADOR
( CON  IVA)]]/0.7</f>
        <v>290587.8</v>
      </c>
      <c r="H90" s="35">
        <f>+Tabla14[[#This Row],[PRECIO SUGERIDO INSTALADOR2]]*5%</f>
        <v>10170.573</v>
      </c>
      <c r="I90" s="29">
        <f t="shared" si="8"/>
        <v>41.940507216494844</v>
      </c>
      <c r="J90" s="29">
        <f t="shared" si="9"/>
        <v>35.756678350515458</v>
      </c>
      <c r="K90" s="34">
        <f t="shared" si="10"/>
        <v>35.399111567010308</v>
      </c>
      <c r="L90" s="34">
        <f t="shared" si="11"/>
        <v>35.399111567010308</v>
      </c>
      <c r="M90" s="34">
        <f t="shared" si="12"/>
        <v>171685.6911</v>
      </c>
      <c r="N90" s="33">
        <f t="shared" si="13"/>
        <v>1734.1988999999999</v>
      </c>
      <c r="O90" s="4">
        <f t="shared" si="14"/>
        <v>35.756678350515458</v>
      </c>
      <c r="P90" s="32">
        <f>Tabla14[[#This Row],[ORO SIN IVA]]*1.19</f>
        <v>173419.88999999998</v>
      </c>
      <c r="Q90" s="31">
        <f t="shared" si="15"/>
        <v>41.940507216494844</v>
      </c>
      <c r="R90" s="45">
        <f>Tabla14[[#This Row],[INSTALLER SIN IVA]]*1.19</f>
        <v>203411.46</v>
      </c>
      <c r="S90" s="39">
        <v>145731</v>
      </c>
      <c r="T90" s="4">
        <v>170934</v>
      </c>
    </row>
    <row r="91" spans="1:20" ht="27" x14ac:dyDescent="0.25">
      <c r="A91" s="47" t="s">
        <v>232</v>
      </c>
      <c r="B91" s="46" t="s">
        <v>231</v>
      </c>
      <c r="C91" s="36">
        <f>+Tabla14[[#This Row],[PRECIO SUGERIDO INSTALADOR2]]</f>
        <v>152227.18</v>
      </c>
      <c r="D91" s="36">
        <f>+Tabla14[[#This Row],[PRECIO  INSTALADOR
( CON  IVA)]]-Tabla14[[#This Row],[Columna1]]</f>
        <v>144615.821</v>
      </c>
      <c r="E91" s="36">
        <f>+Tabla14[[#This Row],[DPP ORO2]]</f>
        <v>129761.17</v>
      </c>
      <c r="F91" s="36">
        <f>+Tabla14[[#This Row],[Columna4]]</f>
        <v>128463.5583</v>
      </c>
      <c r="G91" s="36">
        <f>+Tabla14[[#This Row],[PRECIO  INSTALADOR
( CON  IVA)]]/0.7</f>
        <v>217467.4</v>
      </c>
      <c r="H91" s="35">
        <f>+Tabla14[[#This Row],[PRECIO SUGERIDO INSTALADOR2]]*5%</f>
        <v>7611.3590000000004</v>
      </c>
      <c r="I91" s="29">
        <f t="shared" si="8"/>
        <v>31.387047422680411</v>
      </c>
      <c r="J91" s="29">
        <f t="shared" si="9"/>
        <v>26.754880412371133</v>
      </c>
      <c r="K91" s="34">
        <f t="shared" si="10"/>
        <v>26.487331608247423</v>
      </c>
      <c r="L91" s="34">
        <f t="shared" si="11"/>
        <v>26.487331608247423</v>
      </c>
      <c r="M91" s="34">
        <f t="shared" si="12"/>
        <v>128463.5583</v>
      </c>
      <c r="N91" s="33">
        <f t="shared" si="13"/>
        <v>1297.6116999999999</v>
      </c>
      <c r="O91" s="4">
        <f t="shared" si="14"/>
        <v>26.754880412371133</v>
      </c>
      <c r="P91" s="32">
        <f>Tabla14[[#This Row],[ORO SIN IVA]]*1.19</f>
        <v>129761.17</v>
      </c>
      <c r="Q91" s="31">
        <f t="shared" si="15"/>
        <v>31.387047422680411</v>
      </c>
      <c r="R91" s="45">
        <f>Tabla14[[#This Row],[INSTALLER SIN IVA]]*1.19</f>
        <v>152227.18</v>
      </c>
      <c r="S91" s="39">
        <v>109043</v>
      </c>
      <c r="T91" s="4">
        <v>127922</v>
      </c>
    </row>
    <row r="92" spans="1:20" ht="54" x14ac:dyDescent="0.25">
      <c r="A92" s="38" t="s">
        <v>230</v>
      </c>
      <c r="B92" s="37" t="s">
        <v>229</v>
      </c>
      <c r="C92" s="36">
        <f>+Tabla14[[#This Row],[PRECIO SUGERIDO INSTALADOR2]]</f>
        <v>209000.88999999998</v>
      </c>
      <c r="D92" s="36">
        <f>+Tabla14[[#This Row],[PRECIO  INSTALADOR
( CON  IVA)]]-Tabla14[[#This Row],[Columna1]]</f>
        <v>198550.8455</v>
      </c>
      <c r="E92" s="36">
        <f>+Tabla14[[#This Row],[DPP ORO2]]</f>
        <v>178178.69999999998</v>
      </c>
      <c r="F92" s="36">
        <f>+Tabla14[[#This Row],[Columna4]]</f>
        <v>176396.91299999997</v>
      </c>
      <c r="G92" s="36">
        <f>+Tabla14[[#This Row],[PRECIO  INSTALADOR
( CON  IVA)]]/0.7</f>
        <v>298572.7</v>
      </c>
      <c r="H92" s="35">
        <f>+Tabla14[[#This Row],[PRECIO SUGERIDO INSTALADOR2]]*5%</f>
        <v>10450.0445</v>
      </c>
      <c r="I92" s="29">
        <f t="shared" si="8"/>
        <v>43.092967010309273</v>
      </c>
      <c r="J92" s="29">
        <f t="shared" si="9"/>
        <v>36.737876288659791</v>
      </c>
      <c r="K92" s="34">
        <f t="shared" si="10"/>
        <v>36.370497525773189</v>
      </c>
      <c r="L92" s="34">
        <f t="shared" si="11"/>
        <v>36.370497525773189</v>
      </c>
      <c r="M92" s="34">
        <f t="shared" si="12"/>
        <v>176396.91299999997</v>
      </c>
      <c r="N92" s="33">
        <f t="shared" si="13"/>
        <v>1781.7869999999998</v>
      </c>
      <c r="O92" s="4">
        <f t="shared" si="14"/>
        <v>36.737876288659791</v>
      </c>
      <c r="P92" s="32">
        <f>Tabla14[[#This Row],[ORO SIN IVA]]*1.19</f>
        <v>178178.69999999998</v>
      </c>
      <c r="Q92" s="31">
        <f t="shared" si="15"/>
        <v>43.092967010309273</v>
      </c>
      <c r="R92" s="45">
        <f>Tabla14[[#This Row],[INSTALLER SIN IVA]]*1.19</f>
        <v>209000.88999999998</v>
      </c>
      <c r="S92" s="39">
        <v>149730</v>
      </c>
      <c r="T92" s="4">
        <v>175631</v>
      </c>
    </row>
    <row r="93" spans="1:20" ht="27" x14ac:dyDescent="0.25">
      <c r="A93" s="38" t="s">
        <v>228</v>
      </c>
      <c r="B93" s="37" t="s">
        <v>227</v>
      </c>
      <c r="C93" s="36">
        <f>+Tabla14[[#This Row],[PRECIO SUGERIDO INSTALADOR2]]</f>
        <v>236391.12</v>
      </c>
      <c r="D93" s="36">
        <f>+Tabla14[[#This Row],[PRECIO  INSTALADOR
( CON  IVA)]]-Tabla14[[#This Row],[Columna1]]</f>
        <v>224571.56399999998</v>
      </c>
      <c r="E93" s="36">
        <f>+Tabla14[[#This Row],[DPP ORO2]]</f>
        <v>201475.33</v>
      </c>
      <c r="F93" s="36">
        <f>+Tabla14[[#This Row],[Columna4]]</f>
        <v>199460.57669999998</v>
      </c>
      <c r="G93" s="36">
        <f>+Tabla14[[#This Row],[PRECIO  INSTALADOR
( CON  IVA)]]/0.7</f>
        <v>337701.60000000003</v>
      </c>
      <c r="H93" s="35">
        <f>+Tabla14[[#This Row],[PRECIO SUGERIDO INSTALADOR2]]*5%</f>
        <v>11819.556</v>
      </c>
      <c r="I93" s="29">
        <f t="shared" si="8"/>
        <v>48.740437113402059</v>
      </c>
      <c r="J93" s="29">
        <f t="shared" si="9"/>
        <v>41.541305154639176</v>
      </c>
      <c r="K93" s="34">
        <f t="shared" si="10"/>
        <v>41.125892103092781</v>
      </c>
      <c r="L93" s="34">
        <f t="shared" si="11"/>
        <v>41.125892103092781</v>
      </c>
      <c r="M93" s="34">
        <f t="shared" si="12"/>
        <v>199460.57669999998</v>
      </c>
      <c r="N93" s="33">
        <f t="shared" si="13"/>
        <v>2014.7532999999999</v>
      </c>
      <c r="O93" s="4">
        <f t="shared" si="14"/>
        <v>41.541305154639176</v>
      </c>
      <c r="P93" s="32">
        <f>Tabla14[[#This Row],[ORO SIN IVA]]*1.19</f>
        <v>201475.33</v>
      </c>
      <c r="Q93" s="31">
        <f t="shared" si="15"/>
        <v>48.740437113402059</v>
      </c>
      <c r="R93" s="45">
        <f>Tabla14[[#This Row],[INSTALLER SIN IVA]]*1.19</f>
        <v>236391.12</v>
      </c>
      <c r="S93" s="39">
        <v>169307</v>
      </c>
      <c r="T93" s="4">
        <v>198648</v>
      </c>
    </row>
    <row r="94" spans="1:20" ht="40.5" x14ac:dyDescent="0.25">
      <c r="A94" s="38" t="s">
        <v>226</v>
      </c>
      <c r="B94" s="37" t="s">
        <v>225</v>
      </c>
      <c r="C94" s="36">
        <f>+Tabla14[[#This Row],[PRECIO SUGERIDO INSTALADOR2]]</f>
        <v>234233.65</v>
      </c>
      <c r="D94" s="36">
        <f>+Tabla14[[#This Row],[PRECIO  INSTALADOR
( CON  IVA)]]-Tabla14[[#This Row],[Columna1]]</f>
        <v>222521.9675</v>
      </c>
      <c r="E94" s="36">
        <f>+Tabla14[[#This Row],[DPP ORO2]]</f>
        <v>199704.61</v>
      </c>
      <c r="F94" s="36">
        <f>+Tabla14[[#This Row],[Columna4]]</f>
        <v>197707.56389999998</v>
      </c>
      <c r="G94" s="36">
        <f>+Tabla14[[#This Row],[PRECIO  INSTALADOR
( CON  IVA)]]/0.7</f>
        <v>334619.5</v>
      </c>
      <c r="H94" s="35">
        <f>+Tabla14[[#This Row],[PRECIO SUGERIDO INSTALADOR2]]*5%</f>
        <v>11711.682500000001</v>
      </c>
      <c r="I94" s="29">
        <f t="shared" si="8"/>
        <v>48.295597938144326</v>
      </c>
      <c r="J94" s="29">
        <f t="shared" si="9"/>
        <v>41.176208247422679</v>
      </c>
      <c r="K94" s="34">
        <f t="shared" si="10"/>
        <v>40.764446164948453</v>
      </c>
      <c r="L94" s="34">
        <f t="shared" si="11"/>
        <v>40.764446164948453</v>
      </c>
      <c r="M94" s="34">
        <f t="shared" si="12"/>
        <v>197707.56389999998</v>
      </c>
      <c r="N94" s="33">
        <f t="shared" si="13"/>
        <v>1997.0460999999998</v>
      </c>
      <c r="O94" s="4">
        <f t="shared" si="14"/>
        <v>41.176208247422679</v>
      </c>
      <c r="P94" s="32">
        <f>Tabla14[[#This Row],[ORO SIN IVA]]*1.19</f>
        <v>199704.61</v>
      </c>
      <c r="Q94" s="31">
        <f t="shared" si="15"/>
        <v>48.295597938144326</v>
      </c>
      <c r="R94" s="45">
        <f>Tabla14[[#This Row],[INSTALLER SIN IVA]]*1.19</f>
        <v>234233.65</v>
      </c>
      <c r="S94" s="39">
        <v>167819</v>
      </c>
      <c r="T94" s="4">
        <v>196835</v>
      </c>
    </row>
    <row r="95" spans="1:20" ht="27" x14ac:dyDescent="0.25">
      <c r="A95" s="38" t="s">
        <v>224</v>
      </c>
      <c r="B95" s="37" t="s">
        <v>223</v>
      </c>
      <c r="C95" s="36">
        <f>+Tabla14[[#This Row],[PRECIO SUGERIDO INSTALADOR2]]</f>
        <v>234233.65</v>
      </c>
      <c r="D95" s="36">
        <f>+Tabla14[[#This Row],[PRECIO  INSTALADOR
( CON  IVA)]]-Tabla14[[#This Row],[Columna1]]</f>
        <v>222521.9675</v>
      </c>
      <c r="E95" s="36">
        <f>+Tabla14[[#This Row],[DPP ORO2]]</f>
        <v>199704.61</v>
      </c>
      <c r="F95" s="36">
        <f>+Tabla14[[#This Row],[Columna4]]</f>
        <v>197707.56389999998</v>
      </c>
      <c r="G95" s="36">
        <f>+Tabla14[[#This Row],[PRECIO  INSTALADOR
( CON  IVA)]]/0.7</f>
        <v>334619.5</v>
      </c>
      <c r="H95" s="35">
        <f>+Tabla14[[#This Row],[PRECIO SUGERIDO INSTALADOR2]]*5%</f>
        <v>11711.682500000001</v>
      </c>
      <c r="I95" s="29">
        <f t="shared" si="8"/>
        <v>48.295597938144326</v>
      </c>
      <c r="J95" s="29">
        <f t="shared" si="9"/>
        <v>41.176208247422679</v>
      </c>
      <c r="K95" s="34">
        <f t="shared" si="10"/>
        <v>40.764446164948453</v>
      </c>
      <c r="L95" s="34">
        <f t="shared" si="11"/>
        <v>40.764446164948453</v>
      </c>
      <c r="M95" s="34">
        <f t="shared" si="12"/>
        <v>197707.56389999998</v>
      </c>
      <c r="N95" s="33">
        <f t="shared" si="13"/>
        <v>1997.0460999999998</v>
      </c>
      <c r="O95" s="4">
        <f t="shared" si="14"/>
        <v>41.176208247422679</v>
      </c>
      <c r="P95" s="32">
        <f>Tabla14[[#This Row],[ORO SIN IVA]]*1.19</f>
        <v>199704.61</v>
      </c>
      <c r="Q95" s="31">
        <f t="shared" si="15"/>
        <v>48.295597938144326</v>
      </c>
      <c r="R95" s="45">
        <f>Tabla14[[#This Row],[INSTALLER SIN IVA]]*1.19</f>
        <v>234233.65</v>
      </c>
      <c r="S95" s="39">
        <v>167819</v>
      </c>
      <c r="T95" s="4">
        <v>196835</v>
      </c>
    </row>
    <row r="96" spans="1:20" ht="40.5" x14ac:dyDescent="0.25">
      <c r="A96" s="38" t="s">
        <v>222</v>
      </c>
      <c r="B96" s="37" t="s">
        <v>221</v>
      </c>
      <c r="C96" s="36">
        <f>+Tabla14[[#This Row],[PRECIO SUGERIDO INSTALADOR2]]</f>
        <v>337710.1</v>
      </c>
      <c r="D96" s="36">
        <f>+Tabla14[[#This Row],[PRECIO  INSTALADOR
( CON  IVA)]]-Tabla14[[#This Row],[Columna1]]</f>
        <v>320824.59499999997</v>
      </c>
      <c r="E96" s="36">
        <f>+Tabla14[[#This Row],[DPP ORO2]]</f>
        <v>287908.59999999998</v>
      </c>
      <c r="F96" s="36">
        <f>+Tabla14[[#This Row],[Columna4]]</f>
        <v>285029.51399999997</v>
      </c>
      <c r="G96" s="36">
        <f>+Tabla14[[#This Row],[PRECIO  INSTALADOR
( CON  IVA)]]/0.7</f>
        <v>482443</v>
      </c>
      <c r="H96" s="35">
        <f>+Tabla14[[#This Row],[PRECIO SUGERIDO INSTALADOR2]]*5%</f>
        <v>16885.505000000001</v>
      </c>
      <c r="I96" s="29">
        <f t="shared" si="8"/>
        <v>69.630948453608241</v>
      </c>
      <c r="J96" s="29">
        <f t="shared" si="9"/>
        <v>59.362597938144326</v>
      </c>
      <c r="K96" s="34">
        <f t="shared" si="10"/>
        <v>58.768971958762883</v>
      </c>
      <c r="L96" s="34">
        <f t="shared" si="11"/>
        <v>58.768971958762883</v>
      </c>
      <c r="M96" s="34">
        <f t="shared" si="12"/>
        <v>285029.51399999997</v>
      </c>
      <c r="N96" s="33">
        <f t="shared" si="13"/>
        <v>2879.0859999999998</v>
      </c>
      <c r="O96" s="4">
        <f t="shared" si="14"/>
        <v>59.362597938144326</v>
      </c>
      <c r="P96" s="32">
        <f>Tabla14[[#This Row],[ORO SIN IVA]]*1.19</f>
        <v>287908.59999999998</v>
      </c>
      <c r="Q96" s="31">
        <f t="shared" si="15"/>
        <v>69.630948453608241</v>
      </c>
      <c r="R96" s="45">
        <f>Tabla14[[#This Row],[INSTALLER SIN IVA]]*1.19</f>
        <v>337710.1</v>
      </c>
      <c r="S96" s="39">
        <v>241940</v>
      </c>
      <c r="T96" s="4">
        <v>283790</v>
      </c>
    </row>
    <row r="97" spans="1:20" ht="27" x14ac:dyDescent="0.25">
      <c r="A97" s="47" t="s">
        <v>220</v>
      </c>
      <c r="B97" s="46" t="s">
        <v>219</v>
      </c>
      <c r="C97" s="36">
        <f>+Tabla14[[#This Row],[PRECIO SUGERIDO INSTALADOR2]]</f>
        <v>451312.25999999995</v>
      </c>
      <c r="D97" s="36">
        <f>+Tabla14[[#This Row],[PRECIO  INSTALADOR
( CON  IVA)]]-Tabla14[[#This Row],[Columna1]]</f>
        <v>428746.64699999994</v>
      </c>
      <c r="E97" s="36">
        <f>+Tabla14[[#This Row],[DPP ORO2]]</f>
        <v>384688.92</v>
      </c>
      <c r="F97" s="36">
        <f>+Tabla14[[#This Row],[Columna4]]</f>
        <v>380842.03080000001</v>
      </c>
      <c r="G97" s="36">
        <f>+Tabla14[[#This Row],[PRECIO  INSTALADOR
( CON  IVA)]]/0.7</f>
        <v>644731.79999999993</v>
      </c>
      <c r="H97" s="35">
        <f>+Tabla14[[#This Row],[PRECIO SUGERIDO INSTALADOR2]]*5%</f>
        <v>22565.612999999998</v>
      </c>
      <c r="I97" s="29">
        <f t="shared" si="8"/>
        <v>93.054074226804119</v>
      </c>
      <c r="J97" s="29">
        <f t="shared" si="9"/>
        <v>79.317303092783504</v>
      </c>
      <c r="K97" s="34">
        <f t="shared" si="10"/>
        <v>78.524130061855672</v>
      </c>
      <c r="L97" s="34">
        <f t="shared" si="11"/>
        <v>78.524130061855672</v>
      </c>
      <c r="M97" s="34">
        <f t="shared" si="12"/>
        <v>380842.03080000001</v>
      </c>
      <c r="N97" s="33">
        <f t="shared" si="13"/>
        <v>3846.8892000000001</v>
      </c>
      <c r="O97" s="4">
        <f t="shared" si="14"/>
        <v>79.317303092783504</v>
      </c>
      <c r="P97" s="32">
        <f>Tabla14[[#This Row],[ORO SIN IVA]]*1.19</f>
        <v>384688.92</v>
      </c>
      <c r="Q97" s="31">
        <f t="shared" si="15"/>
        <v>93.054074226804119</v>
      </c>
      <c r="R97" s="45">
        <f>Tabla14[[#This Row],[INSTALLER SIN IVA]]*1.19</f>
        <v>451312.25999999995</v>
      </c>
      <c r="S97" s="39">
        <v>323268</v>
      </c>
      <c r="T97" s="4">
        <v>379254</v>
      </c>
    </row>
    <row r="98" spans="1:20" ht="27" x14ac:dyDescent="0.25">
      <c r="A98" s="47" t="s">
        <v>218</v>
      </c>
      <c r="B98" s="46" t="s">
        <v>217</v>
      </c>
      <c r="C98" s="36">
        <f>+Tabla14[[#This Row],[PRECIO SUGERIDO INSTALADOR2]]</f>
        <v>106907.22</v>
      </c>
      <c r="D98" s="36">
        <f>+Tabla14[[#This Row],[PRECIO  INSTALADOR
( CON  IVA)]]-Tabla14[[#This Row],[Columna1]]</f>
        <v>101561.859</v>
      </c>
      <c r="E98" s="36">
        <f>+Tabla14[[#This Row],[DPP ORO2]]</f>
        <v>91137.34</v>
      </c>
      <c r="F98" s="36">
        <f>+Tabla14[[#This Row],[Columna4]]</f>
        <v>90225.9666</v>
      </c>
      <c r="G98" s="36">
        <f>+Tabla14[[#This Row],[PRECIO  INSTALADOR
( CON  IVA)]]/0.7</f>
        <v>152724.6</v>
      </c>
      <c r="H98" s="35">
        <f>+Tabla14[[#This Row],[PRECIO SUGERIDO INSTALADOR2]]*5%</f>
        <v>5345.3610000000008</v>
      </c>
      <c r="I98" s="29">
        <f t="shared" si="8"/>
        <v>22.042725773195876</v>
      </c>
      <c r="J98" s="29">
        <f t="shared" si="9"/>
        <v>18.791204123711339</v>
      </c>
      <c r="K98" s="34">
        <f t="shared" si="10"/>
        <v>18.603292082474226</v>
      </c>
      <c r="L98" s="34">
        <f t="shared" si="11"/>
        <v>18.603292082474226</v>
      </c>
      <c r="M98" s="34">
        <f t="shared" si="12"/>
        <v>90225.9666</v>
      </c>
      <c r="N98" s="33">
        <f t="shared" si="13"/>
        <v>911.37339999999995</v>
      </c>
      <c r="O98" s="4">
        <f t="shared" si="14"/>
        <v>18.791204123711339</v>
      </c>
      <c r="P98" s="32">
        <f>Tabla14[[#This Row],[ORO SIN IVA]]*1.19</f>
        <v>91137.34</v>
      </c>
      <c r="Q98" s="31">
        <f t="shared" si="15"/>
        <v>22.042725773195876</v>
      </c>
      <c r="R98" s="45">
        <f>Tabla14[[#This Row],[INSTALLER SIN IVA]]*1.19</f>
        <v>106907.22</v>
      </c>
      <c r="S98" s="39">
        <v>76586</v>
      </c>
      <c r="T98" s="4">
        <v>89838</v>
      </c>
    </row>
    <row r="99" spans="1:20" ht="27" x14ac:dyDescent="0.25">
      <c r="A99" s="47" t="s">
        <v>216</v>
      </c>
      <c r="B99" s="46" t="s">
        <v>215</v>
      </c>
      <c r="C99" s="36">
        <f>+Tabla14[[#This Row],[PRECIO SUGERIDO INSTALADOR2]]</f>
        <v>106907.22</v>
      </c>
      <c r="D99" s="36">
        <f>+Tabla14[[#This Row],[PRECIO  INSTALADOR
( CON  IVA)]]-Tabla14[[#This Row],[Columna1]]</f>
        <v>101561.859</v>
      </c>
      <c r="E99" s="36">
        <f>+Tabla14[[#This Row],[DPP ORO2]]</f>
        <v>91137.34</v>
      </c>
      <c r="F99" s="36">
        <f>+Tabla14[[#This Row],[Columna4]]</f>
        <v>90225.9666</v>
      </c>
      <c r="G99" s="36">
        <f>+Tabla14[[#This Row],[PRECIO  INSTALADOR
( CON  IVA)]]/0.7</f>
        <v>152724.6</v>
      </c>
      <c r="H99" s="35">
        <f>+Tabla14[[#This Row],[PRECIO SUGERIDO INSTALADOR2]]*5%</f>
        <v>5345.3610000000008</v>
      </c>
      <c r="I99" s="29">
        <f t="shared" si="8"/>
        <v>22.042725773195876</v>
      </c>
      <c r="J99" s="29">
        <f t="shared" si="9"/>
        <v>18.791204123711339</v>
      </c>
      <c r="K99" s="34">
        <f t="shared" si="10"/>
        <v>18.603292082474226</v>
      </c>
      <c r="L99" s="34">
        <f t="shared" si="11"/>
        <v>18.603292082474226</v>
      </c>
      <c r="M99" s="34">
        <f t="shared" si="12"/>
        <v>90225.9666</v>
      </c>
      <c r="N99" s="33">
        <f t="shared" si="13"/>
        <v>911.37339999999995</v>
      </c>
      <c r="O99" s="4">
        <f t="shared" si="14"/>
        <v>18.791204123711339</v>
      </c>
      <c r="P99" s="32">
        <f>Tabla14[[#This Row],[ORO SIN IVA]]*1.19</f>
        <v>91137.34</v>
      </c>
      <c r="Q99" s="31">
        <f t="shared" si="15"/>
        <v>22.042725773195876</v>
      </c>
      <c r="R99" s="45">
        <f>Tabla14[[#This Row],[INSTALLER SIN IVA]]*1.19</f>
        <v>106907.22</v>
      </c>
      <c r="S99" s="39">
        <v>76586</v>
      </c>
      <c r="T99" s="4">
        <v>89838</v>
      </c>
    </row>
    <row r="100" spans="1:20" ht="27" x14ac:dyDescent="0.25">
      <c r="A100" s="47" t="s">
        <v>214</v>
      </c>
      <c r="B100" s="46" t="s">
        <v>212</v>
      </c>
      <c r="C100" s="36">
        <f>+Tabla14[[#This Row],[PRECIO SUGERIDO INSTALADOR2]]</f>
        <v>99049.65</v>
      </c>
      <c r="D100" s="36">
        <f>+Tabla14[[#This Row],[PRECIO  INSTALADOR
( CON  IVA)]]-Tabla14[[#This Row],[Columna1]]</f>
        <v>94097.167499999996</v>
      </c>
      <c r="E100" s="36">
        <f>+Tabla14[[#This Row],[DPP ORO2]]</f>
        <v>84441.209999999992</v>
      </c>
      <c r="F100" s="36">
        <f>+Tabla14[[#This Row],[Columna4]]</f>
        <v>83596.79789999999</v>
      </c>
      <c r="G100" s="36">
        <f>+Tabla14[[#This Row],[PRECIO  INSTALADOR
( CON  IVA)]]/0.7</f>
        <v>141499.5</v>
      </c>
      <c r="H100" s="35">
        <f>+Tabla14[[#This Row],[PRECIO SUGERIDO INSTALADOR2]]*5%</f>
        <v>4952.4825000000001</v>
      </c>
      <c r="I100" s="29">
        <f t="shared" si="8"/>
        <v>20.42260824742268</v>
      </c>
      <c r="J100" s="29">
        <f t="shared" si="9"/>
        <v>17.410558762886595</v>
      </c>
      <c r="K100" s="34">
        <f t="shared" si="10"/>
        <v>17.236453175257729</v>
      </c>
      <c r="L100" s="34">
        <f t="shared" si="11"/>
        <v>17.236453175257729</v>
      </c>
      <c r="M100" s="34">
        <f t="shared" si="12"/>
        <v>83596.79789999999</v>
      </c>
      <c r="N100" s="33">
        <f t="shared" si="13"/>
        <v>844.4120999999999</v>
      </c>
      <c r="O100" s="4">
        <f t="shared" si="14"/>
        <v>17.410558762886595</v>
      </c>
      <c r="P100" s="32">
        <f>Tabla14[[#This Row],[ORO SIN IVA]]*1.19</f>
        <v>84441.209999999992</v>
      </c>
      <c r="Q100" s="31">
        <f t="shared" si="15"/>
        <v>20.42260824742268</v>
      </c>
      <c r="R100" s="45">
        <f>Tabla14[[#This Row],[INSTALLER SIN IVA]]*1.19</f>
        <v>99049.65</v>
      </c>
      <c r="S100" s="39">
        <v>70959</v>
      </c>
      <c r="T100" s="4">
        <v>83235</v>
      </c>
    </row>
    <row r="101" spans="1:20" ht="27" x14ac:dyDescent="0.25">
      <c r="A101" s="47" t="s">
        <v>213</v>
      </c>
      <c r="B101" s="46" t="s">
        <v>212</v>
      </c>
      <c r="C101" s="36">
        <f>+Tabla14[[#This Row],[PRECIO SUGERIDO INSTALADOR2]]</f>
        <v>99049.65</v>
      </c>
      <c r="D101" s="36">
        <f>+Tabla14[[#This Row],[PRECIO  INSTALADOR
( CON  IVA)]]-Tabla14[[#This Row],[Columna1]]</f>
        <v>94097.167499999996</v>
      </c>
      <c r="E101" s="36">
        <f>+Tabla14[[#This Row],[DPP ORO2]]</f>
        <v>84441.209999999992</v>
      </c>
      <c r="F101" s="36">
        <f>+Tabla14[[#This Row],[Columna4]]</f>
        <v>83596.79789999999</v>
      </c>
      <c r="G101" s="36">
        <f>+Tabla14[[#This Row],[PRECIO  INSTALADOR
( CON  IVA)]]/0.7</f>
        <v>141499.5</v>
      </c>
      <c r="H101" s="35">
        <f>+Tabla14[[#This Row],[PRECIO SUGERIDO INSTALADOR2]]*5%</f>
        <v>4952.4825000000001</v>
      </c>
      <c r="I101" s="29">
        <f t="shared" si="8"/>
        <v>20.42260824742268</v>
      </c>
      <c r="J101" s="29">
        <f t="shared" si="9"/>
        <v>17.410558762886595</v>
      </c>
      <c r="K101" s="34">
        <f t="shared" si="10"/>
        <v>17.236453175257729</v>
      </c>
      <c r="L101" s="34">
        <f t="shared" si="11"/>
        <v>17.236453175257729</v>
      </c>
      <c r="M101" s="34">
        <f t="shared" si="12"/>
        <v>83596.79789999999</v>
      </c>
      <c r="N101" s="33">
        <f t="shared" si="13"/>
        <v>844.4120999999999</v>
      </c>
      <c r="O101" s="4">
        <f t="shared" si="14"/>
        <v>17.410558762886595</v>
      </c>
      <c r="P101" s="32">
        <f>Tabla14[[#This Row],[ORO SIN IVA]]*1.19</f>
        <v>84441.209999999992</v>
      </c>
      <c r="Q101" s="31">
        <f t="shared" si="15"/>
        <v>20.42260824742268</v>
      </c>
      <c r="R101" s="45">
        <f>Tabla14[[#This Row],[INSTALLER SIN IVA]]*1.19</f>
        <v>99049.65</v>
      </c>
      <c r="S101" s="39">
        <v>70959</v>
      </c>
      <c r="T101" s="4">
        <v>83235</v>
      </c>
    </row>
    <row r="102" spans="1:20" ht="27" x14ac:dyDescent="0.25">
      <c r="A102" s="47" t="s">
        <v>211</v>
      </c>
      <c r="B102" s="46" t="s">
        <v>210</v>
      </c>
      <c r="C102" s="36">
        <f>+Tabla14[[#This Row],[PRECIO SUGERIDO INSTALADOR2]]</f>
        <v>201972.75</v>
      </c>
      <c r="D102" s="36">
        <f>+Tabla14[[#This Row],[PRECIO  INSTALADOR
( CON  IVA)]]-Tabla14[[#This Row],[Columna1]]</f>
        <v>191874.11249999999</v>
      </c>
      <c r="E102" s="36">
        <f>+Tabla14[[#This Row],[DPP ORO2]]</f>
        <v>172147.78</v>
      </c>
      <c r="F102" s="36">
        <f>+Tabla14[[#This Row],[Columna4]]</f>
        <v>170426.30220000001</v>
      </c>
      <c r="G102" s="36">
        <f>+Tabla14[[#This Row],[PRECIO  INSTALADOR
( CON  IVA)]]/0.7</f>
        <v>288532.5</v>
      </c>
      <c r="H102" s="35">
        <f>+Tabla14[[#This Row],[PRECIO SUGERIDO INSTALADOR2]]*5%</f>
        <v>10098.637500000001</v>
      </c>
      <c r="I102" s="29">
        <f t="shared" si="8"/>
        <v>41.643865979381445</v>
      </c>
      <c r="J102" s="29">
        <f t="shared" si="9"/>
        <v>35.494387628865979</v>
      </c>
      <c r="K102" s="34">
        <f t="shared" si="10"/>
        <v>35.139443752577321</v>
      </c>
      <c r="L102" s="34">
        <f t="shared" si="11"/>
        <v>35.139443752577321</v>
      </c>
      <c r="M102" s="34">
        <f t="shared" si="12"/>
        <v>170426.30220000001</v>
      </c>
      <c r="N102" s="33">
        <f t="shared" si="13"/>
        <v>1721.4778000000001</v>
      </c>
      <c r="O102" s="4">
        <f t="shared" si="14"/>
        <v>35.494387628865979</v>
      </c>
      <c r="P102" s="32">
        <f>Tabla14[[#This Row],[ORO SIN IVA]]*1.19</f>
        <v>172147.78</v>
      </c>
      <c r="Q102" s="31">
        <f t="shared" si="15"/>
        <v>41.643865979381445</v>
      </c>
      <c r="R102" s="45">
        <f>Tabla14[[#This Row],[INSTALLER SIN IVA]]*1.19</f>
        <v>201972.75</v>
      </c>
      <c r="S102" s="39">
        <v>144662</v>
      </c>
      <c r="T102" s="4">
        <v>169725</v>
      </c>
    </row>
    <row r="103" spans="1:20" ht="54" x14ac:dyDescent="0.25">
      <c r="A103" s="47" t="s">
        <v>209</v>
      </c>
      <c r="B103" s="48" t="s">
        <v>208</v>
      </c>
      <c r="C103" s="36">
        <f>+Tabla14[[#This Row],[PRECIO SUGERIDO INSTALADOR2]]</f>
        <v>141824.19999999998</v>
      </c>
      <c r="D103" s="36">
        <f>+Tabla14[[#This Row],[PRECIO  INSTALADOR
( CON  IVA)]]-Tabla14[[#This Row],[Columna1]]</f>
        <v>134732.99</v>
      </c>
      <c r="E103" s="36">
        <f>+Tabla14[[#This Row],[DPP ORO2]]</f>
        <v>120907.56999999999</v>
      </c>
      <c r="F103" s="36">
        <f>+Tabla14[[#This Row],[Columna4]]</f>
        <v>119698.49429999999</v>
      </c>
      <c r="G103" s="36">
        <f>+Tabla14[[#This Row],[PRECIO  INSTALADOR
( CON  IVA)]]/0.7</f>
        <v>202606</v>
      </c>
      <c r="H103" s="35">
        <f>+Tabla14[[#This Row],[PRECIO SUGERIDO INSTALADOR2]]*5%</f>
        <v>7091.2099999999991</v>
      </c>
      <c r="I103" s="29">
        <f t="shared" si="8"/>
        <v>29.242103092783502</v>
      </c>
      <c r="J103" s="29">
        <f t="shared" si="9"/>
        <v>24.929395876288659</v>
      </c>
      <c r="K103" s="34">
        <f t="shared" si="10"/>
        <v>24.680101917525771</v>
      </c>
      <c r="L103" s="34">
        <f t="shared" si="11"/>
        <v>24.680101917525771</v>
      </c>
      <c r="M103" s="34">
        <f t="shared" si="12"/>
        <v>119698.49429999999</v>
      </c>
      <c r="N103" s="33">
        <f t="shared" si="13"/>
        <v>1209.0756999999999</v>
      </c>
      <c r="O103" s="4">
        <f t="shared" si="14"/>
        <v>24.929395876288659</v>
      </c>
      <c r="P103" s="32">
        <f>Tabla14[[#This Row],[ORO SIN IVA]]*1.19</f>
        <v>120907.56999999999</v>
      </c>
      <c r="Q103" s="31">
        <f t="shared" si="15"/>
        <v>29.242103092783502</v>
      </c>
      <c r="R103" s="45">
        <f>Tabla14[[#This Row],[INSTALLER SIN IVA]]*1.19</f>
        <v>141824.19999999998</v>
      </c>
      <c r="S103" s="39">
        <v>101603</v>
      </c>
      <c r="T103" s="4">
        <v>119180</v>
      </c>
    </row>
    <row r="104" spans="1:20" ht="67.5" x14ac:dyDescent="0.25">
      <c r="A104" s="47" t="s">
        <v>207</v>
      </c>
      <c r="B104" s="46" t="s">
        <v>206</v>
      </c>
      <c r="C104" s="36">
        <f>+Tabla14[[#This Row],[PRECIO SUGERIDO INSTALADOR2]]</f>
        <v>292335.39999999997</v>
      </c>
      <c r="D104" s="36">
        <f>+Tabla14[[#This Row],[PRECIO  INSTALADOR
( CON  IVA)]]-Tabla14[[#This Row],[Columna1]]</f>
        <v>277718.62999999995</v>
      </c>
      <c r="E104" s="36">
        <f>+Tabla14[[#This Row],[DPP ORO2]]</f>
        <v>249228.84</v>
      </c>
      <c r="F104" s="36">
        <f>+Tabla14[[#This Row],[Columna4]]</f>
        <v>246736.55160000001</v>
      </c>
      <c r="G104" s="36">
        <f>+Tabla14[[#This Row],[PRECIO  INSTALADOR
( CON  IVA)]]/0.7</f>
        <v>417622</v>
      </c>
      <c r="H104" s="35">
        <f>+Tabla14[[#This Row],[PRECIO SUGERIDO INSTALADOR2]]*5%</f>
        <v>14616.769999999999</v>
      </c>
      <c r="I104" s="29">
        <f t="shared" si="8"/>
        <v>60.275340206185561</v>
      </c>
      <c r="J104" s="29">
        <f t="shared" si="9"/>
        <v>51.387389690721648</v>
      </c>
      <c r="K104" s="34">
        <f t="shared" si="10"/>
        <v>50.873515793814434</v>
      </c>
      <c r="L104" s="34">
        <f t="shared" si="11"/>
        <v>50.873515793814434</v>
      </c>
      <c r="M104" s="34">
        <f t="shared" si="12"/>
        <v>246736.55160000001</v>
      </c>
      <c r="N104" s="33">
        <f t="shared" si="13"/>
        <v>2492.2883999999999</v>
      </c>
      <c r="O104" s="4">
        <f t="shared" si="14"/>
        <v>51.387389690721648</v>
      </c>
      <c r="P104" s="32">
        <f>Tabla14[[#This Row],[ORO SIN IVA]]*1.19</f>
        <v>249228.84</v>
      </c>
      <c r="Q104" s="31">
        <f t="shared" si="15"/>
        <v>60.275340206185561</v>
      </c>
      <c r="R104" s="45">
        <f>Tabla14[[#This Row],[INSTALLER SIN IVA]]*1.19</f>
        <v>292335.39999999997</v>
      </c>
      <c r="S104" s="39">
        <v>209436</v>
      </c>
      <c r="T104" s="4">
        <v>245660</v>
      </c>
    </row>
    <row r="105" spans="1:20" ht="27" x14ac:dyDescent="0.25">
      <c r="A105" s="47" t="s">
        <v>205</v>
      </c>
      <c r="B105" s="46" t="s">
        <v>204</v>
      </c>
      <c r="C105" s="36">
        <f>+Tabla14[[#This Row],[PRECIO SUGERIDO INSTALADOR2]]</f>
        <v>132029.31</v>
      </c>
      <c r="D105" s="36">
        <f>+Tabla14[[#This Row],[PRECIO  INSTALADOR
( CON  IVA)]]-Tabla14[[#This Row],[Columna1]]</f>
        <v>125427.84449999999</v>
      </c>
      <c r="E105" s="36">
        <f>+Tabla14[[#This Row],[DPP ORO2]]</f>
        <v>112551.39</v>
      </c>
      <c r="F105" s="36">
        <f>+Tabla14[[#This Row],[Columna4]]</f>
        <v>111425.87609999999</v>
      </c>
      <c r="G105" s="36">
        <f>+Tabla14[[#This Row],[PRECIO  INSTALADOR
( CON  IVA)]]/0.7</f>
        <v>188613.30000000002</v>
      </c>
      <c r="H105" s="35">
        <f>+Tabla14[[#This Row],[PRECIO SUGERIDO INSTALADOR2]]*5%</f>
        <v>6601.4655000000002</v>
      </c>
      <c r="I105" s="29">
        <f t="shared" si="8"/>
        <v>27.222538144329896</v>
      </c>
      <c r="J105" s="29">
        <f t="shared" si="9"/>
        <v>23.206472164948455</v>
      </c>
      <c r="K105" s="34">
        <f t="shared" si="10"/>
        <v>22.974407443298968</v>
      </c>
      <c r="L105" s="34">
        <f t="shared" si="11"/>
        <v>22.974407443298968</v>
      </c>
      <c r="M105" s="34">
        <f t="shared" si="12"/>
        <v>111425.87609999999</v>
      </c>
      <c r="N105" s="33">
        <f t="shared" si="13"/>
        <v>1125.5138999999999</v>
      </c>
      <c r="O105" s="4">
        <f t="shared" si="14"/>
        <v>23.206472164948455</v>
      </c>
      <c r="P105" s="32">
        <f>Tabla14[[#This Row],[ORO SIN IVA]]*1.19</f>
        <v>112551.39</v>
      </c>
      <c r="Q105" s="31">
        <f t="shared" si="15"/>
        <v>27.222538144329896</v>
      </c>
      <c r="R105" s="45">
        <f>Tabla14[[#This Row],[INSTALLER SIN IVA]]*1.19</f>
        <v>132029.31</v>
      </c>
      <c r="S105" s="39">
        <v>94581</v>
      </c>
      <c r="T105" s="4">
        <v>110949</v>
      </c>
    </row>
    <row r="106" spans="1:20" ht="40.5" x14ac:dyDescent="0.25">
      <c r="A106" s="38" t="s">
        <v>203</v>
      </c>
      <c r="B106" s="37" t="s">
        <v>202</v>
      </c>
      <c r="C106" s="36">
        <f>+Tabla14[[#This Row],[PRECIO SUGERIDO INSTALADOR2]]</f>
        <v>133191.94</v>
      </c>
      <c r="D106" s="36">
        <f>+Tabla14[[#This Row],[PRECIO  INSTALADOR
( CON  IVA)]]-Tabla14[[#This Row],[Columna1]]</f>
        <v>126532.34300000001</v>
      </c>
      <c r="E106" s="36">
        <f>+Tabla14[[#This Row],[DPP ORO2]]</f>
        <v>113547.42</v>
      </c>
      <c r="F106" s="36">
        <f>+Tabla14[[#This Row],[Columna4]]</f>
        <v>112411.9458</v>
      </c>
      <c r="G106" s="36">
        <f>+Tabla14[[#This Row],[PRECIO  INSTALADOR
( CON  IVA)]]/0.7</f>
        <v>190274.2</v>
      </c>
      <c r="H106" s="35">
        <f>+Tabla14[[#This Row],[PRECIO SUGERIDO INSTALADOR2]]*5%</f>
        <v>6659.5970000000007</v>
      </c>
      <c r="I106" s="29">
        <f t="shared" si="8"/>
        <v>27.462255670103094</v>
      </c>
      <c r="J106" s="29">
        <f t="shared" si="9"/>
        <v>23.411839175257732</v>
      </c>
      <c r="K106" s="34">
        <f t="shared" si="10"/>
        <v>23.177720783505155</v>
      </c>
      <c r="L106" s="34">
        <f t="shared" si="11"/>
        <v>23.177720783505155</v>
      </c>
      <c r="M106" s="34">
        <f t="shared" si="12"/>
        <v>112411.9458</v>
      </c>
      <c r="N106" s="33">
        <f t="shared" si="13"/>
        <v>1135.4742000000001</v>
      </c>
      <c r="O106" s="4">
        <f t="shared" si="14"/>
        <v>23.411839175257732</v>
      </c>
      <c r="P106" s="32">
        <f>Tabla14[[#This Row],[ORO SIN IVA]]*1.19</f>
        <v>113547.42</v>
      </c>
      <c r="Q106" s="31">
        <f t="shared" si="15"/>
        <v>27.462255670103094</v>
      </c>
      <c r="R106" s="45">
        <f>Tabla14[[#This Row],[INSTALLER SIN IVA]]*1.19</f>
        <v>133191.94</v>
      </c>
      <c r="S106" s="39">
        <v>95418</v>
      </c>
      <c r="T106" s="4">
        <v>111926</v>
      </c>
    </row>
    <row r="107" spans="1:20" ht="40.5" x14ac:dyDescent="0.25">
      <c r="A107" s="38" t="s">
        <v>201</v>
      </c>
      <c r="B107" s="37" t="s">
        <v>200</v>
      </c>
      <c r="C107" s="36">
        <f>+Tabla14[[#This Row],[PRECIO SUGERIDO INSTALADOR2]]</f>
        <v>124559.67999999999</v>
      </c>
      <c r="D107" s="36">
        <f>+Tabla14[[#This Row],[PRECIO  INSTALADOR
( CON  IVA)]]-Tabla14[[#This Row],[Columna1]]</f>
        <v>118331.696</v>
      </c>
      <c r="E107" s="36">
        <f>+Tabla14[[#This Row],[DPP ORO2]]</f>
        <v>106188.45999999999</v>
      </c>
      <c r="F107" s="36">
        <f>+Tabla14[[#This Row],[Columna4]]</f>
        <v>105126.57539999999</v>
      </c>
      <c r="G107" s="36">
        <f>+Tabla14[[#This Row],[PRECIO  INSTALADOR
( CON  IVA)]]/0.7</f>
        <v>177942.39999999999</v>
      </c>
      <c r="H107" s="35">
        <f>+Tabla14[[#This Row],[PRECIO SUGERIDO INSTALADOR2]]*5%</f>
        <v>6227.9840000000004</v>
      </c>
      <c r="I107" s="29">
        <f t="shared" si="8"/>
        <v>25.682408247422678</v>
      </c>
      <c r="J107" s="29">
        <f t="shared" si="9"/>
        <v>21.894527835051544</v>
      </c>
      <c r="K107" s="34">
        <f t="shared" si="10"/>
        <v>21.675582556701027</v>
      </c>
      <c r="L107" s="34">
        <f t="shared" si="11"/>
        <v>21.675582556701027</v>
      </c>
      <c r="M107" s="34">
        <f t="shared" si="12"/>
        <v>105126.57539999999</v>
      </c>
      <c r="N107" s="33">
        <f t="shared" si="13"/>
        <v>1061.8845999999999</v>
      </c>
      <c r="O107" s="4">
        <f t="shared" si="14"/>
        <v>21.894527835051544</v>
      </c>
      <c r="P107" s="32">
        <f>Tabla14[[#This Row],[ORO SIN IVA]]*1.19</f>
        <v>106188.45999999999</v>
      </c>
      <c r="Q107" s="31">
        <f t="shared" si="15"/>
        <v>25.682408247422678</v>
      </c>
      <c r="R107" s="45">
        <f>Tabla14[[#This Row],[INSTALLER SIN IVA]]*1.19</f>
        <v>124559.67999999999</v>
      </c>
      <c r="S107" s="39">
        <v>89234</v>
      </c>
      <c r="T107" s="4">
        <v>104672</v>
      </c>
    </row>
    <row r="108" spans="1:20" ht="40.5" x14ac:dyDescent="0.25">
      <c r="A108" s="38" t="s">
        <v>199</v>
      </c>
      <c r="B108" s="37" t="s">
        <v>198</v>
      </c>
      <c r="C108" s="36">
        <f>+Tabla14[[#This Row],[PRECIO SUGERIDO INSTALADOR2]]</f>
        <v>124559.67999999999</v>
      </c>
      <c r="D108" s="36">
        <f>+Tabla14[[#This Row],[PRECIO  INSTALADOR
( CON  IVA)]]-Tabla14[[#This Row],[Columna1]]</f>
        <v>118331.696</v>
      </c>
      <c r="E108" s="36">
        <f>+Tabla14[[#This Row],[DPP ORO2]]</f>
        <v>106188.45999999999</v>
      </c>
      <c r="F108" s="36">
        <f>+Tabla14[[#This Row],[Columna4]]</f>
        <v>105126.57539999999</v>
      </c>
      <c r="G108" s="36">
        <f>+Tabla14[[#This Row],[PRECIO  INSTALADOR
( CON  IVA)]]/0.7</f>
        <v>177942.39999999999</v>
      </c>
      <c r="H108" s="35">
        <f>+Tabla14[[#This Row],[PRECIO SUGERIDO INSTALADOR2]]*5%</f>
        <v>6227.9840000000004</v>
      </c>
      <c r="I108" s="29">
        <f t="shared" si="8"/>
        <v>25.682408247422678</v>
      </c>
      <c r="J108" s="29">
        <f t="shared" si="9"/>
        <v>21.894527835051544</v>
      </c>
      <c r="K108" s="34">
        <f t="shared" si="10"/>
        <v>21.675582556701027</v>
      </c>
      <c r="L108" s="34">
        <f t="shared" si="11"/>
        <v>21.675582556701027</v>
      </c>
      <c r="M108" s="34">
        <f t="shared" si="12"/>
        <v>105126.57539999999</v>
      </c>
      <c r="N108" s="33">
        <f t="shared" si="13"/>
        <v>1061.8845999999999</v>
      </c>
      <c r="O108" s="4">
        <f t="shared" si="14"/>
        <v>21.894527835051544</v>
      </c>
      <c r="P108" s="32">
        <f>Tabla14[[#This Row],[ORO SIN IVA]]*1.19</f>
        <v>106188.45999999999</v>
      </c>
      <c r="Q108" s="31">
        <f t="shared" si="15"/>
        <v>25.682408247422678</v>
      </c>
      <c r="R108" s="45">
        <f>Tabla14[[#This Row],[INSTALLER SIN IVA]]*1.19</f>
        <v>124559.67999999999</v>
      </c>
      <c r="S108" s="39">
        <v>89234</v>
      </c>
      <c r="T108" s="4">
        <v>104672</v>
      </c>
    </row>
    <row r="109" spans="1:20" ht="27" x14ac:dyDescent="0.25">
      <c r="A109" s="47" t="s">
        <v>197</v>
      </c>
      <c r="B109" s="46" t="s">
        <v>196</v>
      </c>
      <c r="C109" s="36">
        <f>+Tabla14[[#This Row],[PRECIO SUGERIDO INSTALADOR2]]</f>
        <v>137673.47999999998</v>
      </c>
      <c r="D109" s="36">
        <f>+Tabla14[[#This Row],[PRECIO  INSTALADOR
( CON  IVA)]]-Tabla14[[#This Row],[Columna1]]</f>
        <v>130789.80599999998</v>
      </c>
      <c r="E109" s="36">
        <f>+Tabla14[[#This Row],[DPP ORO2]]</f>
        <v>117366.12999999999</v>
      </c>
      <c r="F109" s="36">
        <f>+Tabla14[[#This Row],[Columna4]]</f>
        <v>116192.46869999998</v>
      </c>
      <c r="G109" s="36">
        <f>+Tabla14[[#This Row],[PRECIO  INSTALADOR
( CON  IVA)]]/0.7</f>
        <v>196676.4</v>
      </c>
      <c r="H109" s="35">
        <f>+Tabla14[[#This Row],[PRECIO SUGERIDO INSTALADOR2]]*5%</f>
        <v>6883.6739999999991</v>
      </c>
      <c r="I109" s="29">
        <f t="shared" si="8"/>
        <v>28.386284536082471</v>
      </c>
      <c r="J109" s="29">
        <f t="shared" si="9"/>
        <v>24.199202061855669</v>
      </c>
      <c r="K109" s="34">
        <f t="shared" si="10"/>
        <v>23.957210041237111</v>
      </c>
      <c r="L109" s="34">
        <f t="shared" si="11"/>
        <v>23.957210041237111</v>
      </c>
      <c r="M109" s="34">
        <f t="shared" si="12"/>
        <v>116192.46869999998</v>
      </c>
      <c r="N109" s="33">
        <f t="shared" si="13"/>
        <v>1173.6613</v>
      </c>
      <c r="O109" s="4">
        <f t="shared" si="14"/>
        <v>24.199202061855669</v>
      </c>
      <c r="P109" s="32">
        <f>Tabla14[[#This Row],[ORO SIN IVA]]*1.19</f>
        <v>117366.12999999999</v>
      </c>
      <c r="Q109" s="31">
        <f t="shared" si="15"/>
        <v>28.386284536082471</v>
      </c>
      <c r="R109" s="45">
        <f>Tabla14[[#This Row],[INSTALLER SIN IVA]]*1.19</f>
        <v>137673.47999999998</v>
      </c>
      <c r="S109" s="39">
        <v>98627</v>
      </c>
      <c r="T109" s="4">
        <v>115692</v>
      </c>
    </row>
    <row r="110" spans="1:20" ht="27" x14ac:dyDescent="0.25">
      <c r="A110" s="38" t="s">
        <v>195</v>
      </c>
      <c r="B110" s="37" t="s">
        <v>194</v>
      </c>
      <c r="C110" s="36">
        <f>+Tabla14[[#This Row],[PRECIO SUGERIDO INSTALADOR2]]</f>
        <v>148021.72</v>
      </c>
      <c r="D110" s="36">
        <f>+Tabla14[[#This Row],[PRECIO  INSTALADOR
( CON  IVA)]]-Tabla14[[#This Row],[Columna1]]</f>
        <v>140620.63399999999</v>
      </c>
      <c r="E110" s="36">
        <f>+Tabla14[[#This Row],[DPP ORO2]]</f>
        <v>126163.79999999999</v>
      </c>
      <c r="F110" s="36">
        <f>+Tabla14[[#This Row],[Columna4]]</f>
        <v>124902.16199999998</v>
      </c>
      <c r="G110" s="36">
        <f>+Tabla14[[#This Row],[PRECIO  INSTALADOR
( CON  IVA)]]/0.7</f>
        <v>211459.6</v>
      </c>
      <c r="H110" s="35">
        <f>+Tabla14[[#This Row],[PRECIO SUGERIDO INSTALADOR2]]*5%</f>
        <v>7401.0860000000002</v>
      </c>
      <c r="I110" s="29">
        <f t="shared" si="8"/>
        <v>30.519942268041238</v>
      </c>
      <c r="J110" s="29">
        <f t="shared" si="9"/>
        <v>26.013154639175255</v>
      </c>
      <c r="K110" s="34">
        <f t="shared" si="10"/>
        <v>25.753023092783501</v>
      </c>
      <c r="L110" s="34">
        <f t="shared" si="11"/>
        <v>25.753023092783501</v>
      </c>
      <c r="M110" s="34">
        <f t="shared" si="12"/>
        <v>124902.16199999998</v>
      </c>
      <c r="N110" s="33">
        <f t="shared" si="13"/>
        <v>1261.6379999999999</v>
      </c>
      <c r="O110" s="4">
        <f t="shared" si="14"/>
        <v>26.013154639175255</v>
      </c>
      <c r="P110" s="32">
        <f>Tabla14[[#This Row],[ORO SIN IVA]]*1.19</f>
        <v>126163.79999999999</v>
      </c>
      <c r="Q110" s="31">
        <f t="shared" si="15"/>
        <v>30.519942268041238</v>
      </c>
      <c r="R110" s="45">
        <f>Tabla14[[#This Row],[INSTALLER SIN IVA]]*1.19</f>
        <v>148021.72</v>
      </c>
      <c r="S110" s="39">
        <v>106020</v>
      </c>
      <c r="T110" s="4">
        <v>124388</v>
      </c>
    </row>
    <row r="111" spans="1:20" ht="27" x14ac:dyDescent="0.25">
      <c r="A111" s="47" t="s">
        <v>193</v>
      </c>
      <c r="B111" s="48" t="s">
        <v>191</v>
      </c>
      <c r="C111" s="36">
        <f>+Tabla14[[#This Row],[PRECIO SUGERIDO INSTALADOR2]]</f>
        <v>147689.71</v>
      </c>
      <c r="D111" s="36">
        <f>+Tabla14[[#This Row],[PRECIO  INSTALADOR
( CON  IVA)]]-Tabla14[[#This Row],[Columna1]]</f>
        <v>140305.22449999998</v>
      </c>
      <c r="E111" s="36">
        <f>+Tabla14[[#This Row],[DPP ORO2]]</f>
        <v>125887.72</v>
      </c>
      <c r="F111" s="36">
        <f>+Tabla14[[#This Row],[Columna4]]</f>
        <v>124628.8428</v>
      </c>
      <c r="G111" s="36">
        <f>+Tabla14[[#This Row],[PRECIO  INSTALADOR
( CON  IVA)]]/0.7</f>
        <v>210985.3</v>
      </c>
      <c r="H111" s="35">
        <f>+Tabla14[[#This Row],[PRECIO SUGERIDO INSTALADOR2]]*5%</f>
        <v>7384.4854999999998</v>
      </c>
      <c r="I111" s="29">
        <f t="shared" si="8"/>
        <v>30.451486597938143</v>
      </c>
      <c r="J111" s="29">
        <f t="shared" si="9"/>
        <v>25.956230927835051</v>
      </c>
      <c r="K111" s="34">
        <f t="shared" si="10"/>
        <v>25.6966686185567</v>
      </c>
      <c r="L111" s="34">
        <f t="shared" si="11"/>
        <v>25.6966686185567</v>
      </c>
      <c r="M111" s="34">
        <f t="shared" si="12"/>
        <v>124628.8428</v>
      </c>
      <c r="N111" s="33">
        <f t="shared" si="13"/>
        <v>1258.8772000000001</v>
      </c>
      <c r="O111" s="4">
        <f t="shared" si="14"/>
        <v>25.956230927835051</v>
      </c>
      <c r="P111" s="32">
        <f>Tabla14[[#This Row],[ORO SIN IVA]]*1.19</f>
        <v>125887.72</v>
      </c>
      <c r="Q111" s="31">
        <f t="shared" si="15"/>
        <v>30.451486597938143</v>
      </c>
      <c r="R111" s="45">
        <f>Tabla14[[#This Row],[INSTALLER SIN IVA]]*1.19</f>
        <v>147689.71</v>
      </c>
      <c r="S111" s="39">
        <v>105788</v>
      </c>
      <c r="T111" s="4">
        <v>124109</v>
      </c>
    </row>
    <row r="112" spans="1:20" ht="27" x14ac:dyDescent="0.25">
      <c r="A112" s="47" t="s">
        <v>192</v>
      </c>
      <c r="B112" s="48" t="s">
        <v>191</v>
      </c>
      <c r="C112" s="36">
        <f>+Tabla14[[#This Row],[PRECIO SUGERIDO INSTALADOR2]]</f>
        <v>246130.08</v>
      </c>
      <c r="D112" s="36">
        <f>+Tabla14[[#This Row],[PRECIO  INSTALADOR
( CON  IVA)]]-Tabla14[[#This Row],[Columna1]]</f>
        <v>233823.576</v>
      </c>
      <c r="E112" s="36">
        <f>+Tabla14[[#This Row],[DPP ORO2]]</f>
        <v>209830.31999999998</v>
      </c>
      <c r="F112" s="36">
        <f>+Tabla14[[#This Row],[Columna4]]</f>
        <v>207732.01679999998</v>
      </c>
      <c r="G112" s="36">
        <f>+Tabla14[[#This Row],[PRECIO  INSTALADOR
( CON  IVA)]]/0.7</f>
        <v>351614.4</v>
      </c>
      <c r="H112" s="35">
        <f>+Tabla14[[#This Row],[PRECIO SUGERIDO INSTALADOR2]]*5%</f>
        <v>12306.504000000001</v>
      </c>
      <c r="I112" s="29">
        <f t="shared" si="8"/>
        <v>50.748470103092778</v>
      </c>
      <c r="J112" s="29">
        <f t="shared" si="9"/>
        <v>43.263983505154634</v>
      </c>
      <c r="K112" s="34">
        <f t="shared" si="10"/>
        <v>42.831343670103088</v>
      </c>
      <c r="L112" s="34">
        <f t="shared" si="11"/>
        <v>42.831343670103088</v>
      </c>
      <c r="M112" s="34">
        <f t="shared" si="12"/>
        <v>207732.01679999998</v>
      </c>
      <c r="N112" s="33">
        <f t="shared" si="13"/>
        <v>2098.3031999999998</v>
      </c>
      <c r="O112" s="4">
        <f t="shared" si="14"/>
        <v>43.263983505154634</v>
      </c>
      <c r="P112" s="32">
        <f>Tabla14[[#This Row],[ORO SIN IVA]]*1.19</f>
        <v>209830.31999999998</v>
      </c>
      <c r="Q112" s="31">
        <f t="shared" si="15"/>
        <v>50.748470103092778</v>
      </c>
      <c r="R112" s="45">
        <f>Tabla14[[#This Row],[INSTALLER SIN IVA]]*1.19</f>
        <v>246130.08</v>
      </c>
      <c r="S112" s="39">
        <v>176328</v>
      </c>
      <c r="T112" s="4">
        <v>206832</v>
      </c>
    </row>
    <row r="113" spans="1:20" ht="27" x14ac:dyDescent="0.25">
      <c r="A113" s="38" t="s">
        <v>190</v>
      </c>
      <c r="B113" s="37" t="s">
        <v>189</v>
      </c>
      <c r="C113" s="36">
        <f>+Tabla14[[#This Row],[PRECIO SUGERIDO INSTALADOR2]]</f>
        <v>269316.03999999998</v>
      </c>
      <c r="D113" s="36">
        <f>+Tabla14[[#This Row],[PRECIO  INSTALADOR
( CON  IVA)]]-Tabla14[[#This Row],[Columna1]]</f>
        <v>255850.23799999998</v>
      </c>
      <c r="E113" s="36">
        <f>+Tabla14[[#This Row],[DPP ORO2]]</f>
        <v>229585.50999999998</v>
      </c>
      <c r="F113" s="36">
        <f>+Tabla14[[#This Row],[Columna4]]</f>
        <v>227289.65489999999</v>
      </c>
      <c r="G113" s="36">
        <f>+Tabla14[[#This Row],[PRECIO  INSTALADOR
( CON  IVA)]]/0.7</f>
        <v>384737.2</v>
      </c>
      <c r="H113" s="35">
        <f>+Tabla14[[#This Row],[PRECIO SUGERIDO INSTALADOR2]]*5%</f>
        <v>13465.802</v>
      </c>
      <c r="I113" s="29">
        <f t="shared" si="8"/>
        <v>55.52908041237113</v>
      </c>
      <c r="J113" s="29">
        <f t="shared" si="9"/>
        <v>47.337218556701025</v>
      </c>
      <c r="K113" s="34">
        <f t="shared" si="10"/>
        <v>46.863846371134017</v>
      </c>
      <c r="L113" s="34">
        <f t="shared" si="11"/>
        <v>46.863846371134017</v>
      </c>
      <c r="M113" s="34">
        <f t="shared" si="12"/>
        <v>227289.65489999999</v>
      </c>
      <c r="N113" s="33">
        <f t="shared" si="13"/>
        <v>2295.8550999999998</v>
      </c>
      <c r="O113" s="4">
        <f t="shared" si="14"/>
        <v>47.337218556701025</v>
      </c>
      <c r="P113" s="32">
        <f>Tabla14[[#This Row],[ORO SIN IVA]]*1.19</f>
        <v>229585.50999999998</v>
      </c>
      <c r="Q113" s="31">
        <f t="shared" si="15"/>
        <v>55.52908041237113</v>
      </c>
      <c r="R113" s="45">
        <f>Tabla14[[#This Row],[INSTALLER SIN IVA]]*1.19</f>
        <v>269316.03999999998</v>
      </c>
      <c r="S113" s="39">
        <v>192929</v>
      </c>
      <c r="T113" s="4">
        <v>226316</v>
      </c>
    </row>
    <row r="114" spans="1:20" ht="27" x14ac:dyDescent="0.25">
      <c r="A114" s="38" t="s">
        <v>188</v>
      </c>
      <c r="B114" s="37" t="s">
        <v>187</v>
      </c>
      <c r="C114" s="36">
        <f>+Tabla14[[#This Row],[PRECIO SUGERIDO INSTALADOR2]]</f>
        <v>282540.51</v>
      </c>
      <c r="D114" s="36">
        <f>+Tabla14[[#This Row],[PRECIO  INSTALADOR
( CON  IVA)]]-Tabla14[[#This Row],[Columna1]]</f>
        <v>268413.48450000002</v>
      </c>
      <c r="E114" s="36">
        <f>+Tabla14[[#This Row],[DPP ORO2]]</f>
        <v>240873.84999999998</v>
      </c>
      <c r="F114" s="36">
        <f>+Tabla14[[#This Row],[Columna4]]</f>
        <v>238465.11149999997</v>
      </c>
      <c r="G114" s="36">
        <f>+Tabla14[[#This Row],[PRECIO  INSTALADOR
( CON  IVA)]]/0.7</f>
        <v>403629.30000000005</v>
      </c>
      <c r="H114" s="35">
        <f>+Tabla14[[#This Row],[PRECIO SUGERIDO INSTALADOR2]]*5%</f>
        <v>14127.025500000002</v>
      </c>
      <c r="I114" s="29">
        <f t="shared" si="8"/>
        <v>58.255775257731962</v>
      </c>
      <c r="J114" s="29">
        <f t="shared" si="9"/>
        <v>49.664711340206182</v>
      </c>
      <c r="K114" s="34">
        <f t="shared" si="10"/>
        <v>49.16806422680412</v>
      </c>
      <c r="L114" s="34">
        <f t="shared" si="11"/>
        <v>49.16806422680412</v>
      </c>
      <c r="M114" s="34">
        <f t="shared" si="12"/>
        <v>238465.11149999997</v>
      </c>
      <c r="N114" s="33">
        <f t="shared" si="13"/>
        <v>2408.7384999999999</v>
      </c>
      <c r="O114" s="4">
        <f t="shared" si="14"/>
        <v>49.664711340206182</v>
      </c>
      <c r="P114" s="32">
        <f>Tabla14[[#This Row],[ORO SIN IVA]]*1.19</f>
        <v>240873.84999999998</v>
      </c>
      <c r="Q114" s="31">
        <f t="shared" si="15"/>
        <v>58.255775257731962</v>
      </c>
      <c r="R114" s="45">
        <f>Tabla14[[#This Row],[INSTALLER SIN IVA]]*1.19</f>
        <v>282540.51</v>
      </c>
      <c r="S114" s="39">
        <v>202415</v>
      </c>
      <c r="T114" s="4">
        <v>237429</v>
      </c>
    </row>
    <row r="115" spans="1:20" ht="27" x14ac:dyDescent="0.25">
      <c r="A115" s="47" t="s">
        <v>186</v>
      </c>
      <c r="B115" s="46" t="s">
        <v>184</v>
      </c>
      <c r="C115" s="36">
        <f>+Tabla14[[#This Row],[PRECIO SUGERIDO INSTALADOR2]]</f>
        <v>227593.44999999998</v>
      </c>
      <c r="D115" s="36">
        <f>+Tabla14[[#This Row],[PRECIO  INSTALADOR
( CON  IVA)]]-Tabla14[[#This Row],[Columna1]]</f>
        <v>216213.77749999997</v>
      </c>
      <c r="E115" s="36">
        <f>+Tabla14[[#This Row],[DPP ORO2]]</f>
        <v>194060.44</v>
      </c>
      <c r="F115" s="36">
        <f>+Tabla14[[#This Row],[Columna4]]</f>
        <v>192119.83559999999</v>
      </c>
      <c r="G115" s="36">
        <f>+Tabla14[[#This Row],[PRECIO  INSTALADOR
( CON  IVA)]]/0.7</f>
        <v>325133.5</v>
      </c>
      <c r="H115" s="35">
        <f>+Tabla14[[#This Row],[PRECIO SUGERIDO INSTALADOR2]]*5%</f>
        <v>11379.672500000001</v>
      </c>
      <c r="I115" s="29">
        <f t="shared" si="8"/>
        <v>46.926484536082469</v>
      </c>
      <c r="J115" s="29">
        <f t="shared" si="9"/>
        <v>40.012461855670104</v>
      </c>
      <c r="K115" s="34">
        <f t="shared" si="10"/>
        <v>39.612337237113401</v>
      </c>
      <c r="L115" s="34">
        <f t="shared" si="11"/>
        <v>39.612337237113401</v>
      </c>
      <c r="M115" s="34">
        <f t="shared" si="12"/>
        <v>192119.83559999999</v>
      </c>
      <c r="N115" s="33">
        <f t="shared" si="13"/>
        <v>1940.6044000000002</v>
      </c>
      <c r="O115" s="4">
        <f t="shared" si="14"/>
        <v>40.012461855670104</v>
      </c>
      <c r="P115" s="32">
        <f>Tabla14[[#This Row],[ORO SIN IVA]]*1.19</f>
        <v>194060.44</v>
      </c>
      <c r="Q115" s="31">
        <f t="shared" si="15"/>
        <v>46.926484536082469</v>
      </c>
      <c r="R115" s="45">
        <f>Tabla14[[#This Row],[INSTALLER SIN IVA]]*1.19</f>
        <v>227593.44999999998</v>
      </c>
      <c r="S115" s="39">
        <v>163076</v>
      </c>
      <c r="T115" s="4">
        <v>191255</v>
      </c>
    </row>
    <row r="116" spans="1:20" ht="27" x14ac:dyDescent="0.25">
      <c r="A116" s="38" t="s">
        <v>185</v>
      </c>
      <c r="B116" s="37" t="s">
        <v>184</v>
      </c>
      <c r="C116" s="36">
        <f>+Tabla14[[#This Row],[PRECIO SUGERIDO INSTALADOR2]]</f>
        <v>223110.72</v>
      </c>
      <c r="D116" s="36">
        <f>+Tabla14[[#This Row],[PRECIO  INSTALADOR
( CON  IVA)]]-Tabla14[[#This Row],[Columna1]]</f>
        <v>211955.18400000001</v>
      </c>
      <c r="E116" s="36">
        <f>+Tabla14[[#This Row],[DPP ORO2]]</f>
        <v>190241.72999999998</v>
      </c>
      <c r="F116" s="36">
        <f>+Tabla14[[#This Row],[Columna4]]</f>
        <v>188339.31269999998</v>
      </c>
      <c r="G116" s="36">
        <f>+Tabla14[[#This Row],[PRECIO  INSTALADOR
( CON  IVA)]]/0.7</f>
        <v>318729.60000000003</v>
      </c>
      <c r="H116" s="35">
        <f>+Tabla14[[#This Row],[PRECIO SUGERIDO INSTALADOR2]]*5%</f>
        <v>11155.536</v>
      </c>
      <c r="I116" s="29">
        <f t="shared" si="8"/>
        <v>46.002210309278354</v>
      </c>
      <c r="J116" s="29">
        <f t="shared" si="9"/>
        <v>39.225098969072164</v>
      </c>
      <c r="K116" s="34">
        <f t="shared" si="10"/>
        <v>38.832847979381441</v>
      </c>
      <c r="L116" s="34">
        <f t="shared" si="11"/>
        <v>38.832847979381441</v>
      </c>
      <c r="M116" s="34">
        <f t="shared" si="12"/>
        <v>188339.31269999998</v>
      </c>
      <c r="N116" s="33">
        <f t="shared" si="13"/>
        <v>1902.4172999999998</v>
      </c>
      <c r="O116" s="4">
        <f t="shared" si="14"/>
        <v>39.225098969072164</v>
      </c>
      <c r="P116" s="32">
        <f>Tabla14[[#This Row],[ORO SIN IVA]]*1.19</f>
        <v>190241.72999999998</v>
      </c>
      <c r="Q116" s="31">
        <f t="shared" si="15"/>
        <v>46.002210309278354</v>
      </c>
      <c r="R116" s="45">
        <f>Tabla14[[#This Row],[INSTALLER SIN IVA]]*1.19</f>
        <v>223110.72</v>
      </c>
      <c r="S116" s="39">
        <v>159867</v>
      </c>
      <c r="T116" s="4">
        <v>187488</v>
      </c>
    </row>
    <row r="117" spans="1:20" ht="27" x14ac:dyDescent="0.25">
      <c r="A117" s="38" t="s">
        <v>183</v>
      </c>
      <c r="B117" s="37" t="s">
        <v>181</v>
      </c>
      <c r="C117" s="36">
        <f>+Tabla14[[#This Row],[PRECIO SUGERIDO INSTALADOR2]]</f>
        <v>221727.94</v>
      </c>
      <c r="D117" s="36">
        <f>+Tabla14[[#This Row],[PRECIO  INSTALADOR
( CON  IVA)]]-Tabla14[[#This Row],[Columna1]]</f>
        <v>210641.54300000001</v>
      </c>
      <c r="E117" s="36">
        <f>+Tabla14[[#This Row],[DPP ORO2]]</f>
        <v>189024.36</v>
      </c>
      <c r="F117" s="36">
        <f>+Tabla14[[#This Row],[Columna4]]</f>
        <v>187134.1164</v>
      </c>
      <c r="G117" s="36">
        <f>+Tabla14[[#This Row],[PRECIO  INSTALADOR
( CON  IVA)]]/0.7</f>
        <v>316754.2</v>
      </c>
      <c r="H117" s="35">
        <f>+Tabla14[[#This Row],[PRECIO SUGERIDO INSTALADOR2]]*5%</f>
        <v>11086.397000000001</v>
      </c>
      <c r="I117" s="29">
        <f t="shared" si="8"/>
        <v>45.717101030927836</v>
      </c>
      <c r="J117" s="29">
        <f t="shared" si="9"/>
        <v>38.974094845360824</v>
      </c>
      <c r="K117" s="34">
        <f t="shared" si="10"/>
        <v>38.584353896907217</v>
      </c>
      <c r="L117" s="34">
        <f t="shared" si="11"/>
        <v>38.584353896907217</v>
      </c>
      <c r="M117" s="34">
        <f t="shared" si="12"/>
        <v>187134.1164</v>
      </c>
      <c r="N117" s="33">
        <f t="shared" si="13"/>
        <v>1890.2435999999998</v>
      </c>
      <c r="O117" s="4">
        <f t="shared" si="14"/>
        <v>38.974094845360824</v>
      </c>
      <c r="P117" s="32">
        <f>Tabla14[[#This Row],[ORO SIN IVA]]*1.19</f>
        <v>189024.36</v>
      </c>
      <c r="Q117" s="31">
        <f t="shared" si="15"/>
        <v>45.717101030927836</v>
      </c>
      <c r="R117" s="45">
        <f>Tabla14[[#This Row],[INSTALLER SIN IVA]]*1.19</f>
        <v>221727.94</v>
      </c>
      <c r="S117" s="39">
        <v>158844</v>
      </c>
      <c r="T117" s="4">
        <v>186326</v>
      </c>
    </row>
    <row r="118" spans="1:20" ht="27" x14ac:dyDescent="0.25">
      <c r="A118" s="38" t="s">
        <v>182</v>
      </c>
      <c r="B118" s="37" t="s">
        <v>181</v>
      </c>
      <c r="C118" s="36">
        <f>+Tabla14[[#This Row],[PRECIO SUGERIDO INSTALADOR2]]</f>
        <v>207727.59</v>
      </c>
      <c r="D118" s="36">
        <f>+Tabla14[[#This Row],[PRECIO  INSTALADOR
( CON  IVA)]]-Tabla14[[#This Row],[Columna1]]</f>
        <v>197341.21049999999</v>
      </c>
      <c r="E118" s="36">
        <f>+Tabla14[[#This Row],[DPP ORO2]]</f>
        <v>177072</v>
      </c>
      <c r="F118" s="36">
        <f>+Tabla14[[#This Row],[Columna4]]</f>
        <v>175301.28</v>
      </c>
      <c r="G118" s="36">
        <f>+Tabla14[[#This Row],[PRECIO  INSTALADOR
( CON  IVA)]]/0.7</f>
        <v>296753.7</v>
      </c>
      <c r="H118" s="35">
        <f>+Tabla14[[#This Row],[PRECIO SUGERIDO INSTALADOR2]]*5%</f>
        <v>10386.379500000001</v>
      </c>
      <c r="I118" s="29">
        <f t="shared" si="8"/>
        <v>42.830430927835053</v>
      </c>
      <c r="J118" s="29">
        <f t="shared" si="9"/>
        <v>36.509690721649484</v>
      </c>
      <c r="K118" s="34">
        <f t="shared" si="10"/>
        <v>36.144593814432987</v>
      </c>
      <c r="L118" s="34">
        <f t="shared" si="11"/>
        <v>36.144593814432987</v>
      </c>
      <c r="M118" s="34">
        <f t="shared" si="12"/>
        <v>175301.28</v>
      </c>
      <c r="N118" s="33">
        <f t="shared" si="13"/>
        <v>1770.72</v>
      </c>
      <c r="O118" s="4">
        <f t="shared" si="14"/>
        <v>36.509690721649484</v>
      </c>
      <c r="P118" s="32">
        <f>Tabla14[[#This Row],[ORO SIN IVA]]*1.19</f>
        <v>177072</v>
      </c>
      <c r="Q118" s="31">
        <f t="shared" si="15"/>
        <v>42.830430927835053</v>
      </c>
      <c r="R118" s="45">
        <f>Tabla14[[#This Row],[INSTALLER SIN IVA]]*1.19</f>
        <v>207727.59</v>
      </c>
      <c r="S118" s="39">
        <v>148800</v>
      </c>
      <c r="T118" s="4">
        <v>174561</v>
      </c>
    </row>
    <row r="119" spans="1:20" ht="27" x14ac:dyDescent="0.25">
      <c r="A119" s="38" t="s">
        <v>180</v>
      </c>
      <c r="B119" s="37" t="s">
        <v>178</v>
      </c>
      <c r="C119" s="36">
        <f>+Tabla14[[#This Row],[PRECIO SUGERIDO INSTALADOR2]]</f>
        <v>94236.099999999991</v>
      </c>
      <c r="D119" s="36">
        <f>+Tabla14[[#This Row],[PRECIO  INSTALADOR
( CON  IVA)]]-Tabla14[[#This Row],[Columna1]]</f>
        <v>89524.294999999998</v>
      </c>
      <c r="E119" s="36">
        <f>+Tabla14[[#This Row],[DPP ORO2]]</f>
        <v>80346.42</v>
      </c>
      <c r="F119" s="36">
        <f>+Tabla14[[#This Row],[Columna4]]</f>
        <v>79542.955799999996</v>
      </c>
      <c r="G119" s="36">
        <f>+Tabla14[[#This Row],[PRECIO  INSTALADOR
( CON  IVA)]]/0.7</f>
        <v>134623</v>
      </c>
      <c r="H119" s="35">
        <f>+Tabla14[[#This Row],[PRECIO SUGERIDO INSTALADOR2]]*5%</f>
        <v>4711.8049999999994</v>
      </c>
      <c r="I119" s="29">
        <f t="shared" si="8"/>
        <v>19.430123711340205</v>
      </c>
      <c r="J119" s="29">
        <f t="shared" si="9"/>
        <v>16.566272164948455</v>
      </c>
      <c r="K119" s="34">
        <f t="shared" si="10"/>
        <v>16.400609443298968</v>
      </c>
      <c r="L119" s="34">
        <f t="shared" si="11"/>
        <v>16.400609443298968</v>
      </c>
      <c r="M119" s="34">
        <f t="shared" si="12"/>
        <v>79542.955799999996</v>
      </c>
      <c r="N119" s="33">
        <f t="shared" si="13"/>
        <v>803.46420000000001</v>
      </c>
      <c r="O119" s="4">
        <f t="shared" si="14"/>
        <v>16.566272164948455</v>
      </c>
      <c r="P119" s="32">
        <f>Tabla14[[#This Row],[ORO SIN IVA]]*1.19</f>
        <v>80346.42</v>
      </c>
      <c r="Q119" s="31">
        <f t="shared" si="15"/>
        <v>19.430123711340205</v>
      </c>
      <c r="R119" s="45">
        <f>Tabla14[[#This Row],[INSTALLER SIN IVA]]*1.19</f>
        <v>94236.099999999991</v>
      </c>
      <c r="S119" s="39">
        <v>67518</v>
      </c>
      <c r="T119" s="4">
        <v>79190</v>
      </c>
    </row>
    <row r="120" spans="1:20" ht="27" x14ac:dyDescent="0.25">
      <c r="A120" s="38" t="s">
        <v>179</v>
      </c>
      <c r="B120" s="37" t="s">
        <v>178</v>
      </c>
      <c r="C120" s="36">
        <f>+Tabla14[[#This Row],[PRECIO SUGERIDO INSTALADOR2]]</f>
        <v>94236.099999999991</v>
      </c>
      <c r="D120" s="36">
        <f>+Tabla14[[#This Row],[PRECIO  INSTALADOR
( CON  IVA)]]-Tabla14[[#This Row],[Columna1]]</f>
        <v>89524.294999999998</v>
      </c>
      <c r="E120" s="36">
        <f>+Tabla14[[#This Row],[DPP ORO2]]</f>
        <v>80346.42</v>
      </c>
      <c r="F120" s="36">
        <f>+Tabla14[[#This Row],[Columna4]]</f>
        <v>79542.955799999996</v>
      </c>
      <c r="G120" s="36">
        <f>+Tabla14[[#This Row],[PRECIO  INSTALADOR
( CON  IVA)]]/0.7</f>
        <v>134623</v>
      </c>
      <c r="H120" s="35">
        <f>+Tabla14[[#This Row],[PRECIO SUGERIDO INSTALADOR2]]*5%</f>
        <v>4711.8049999999994</v>
      </c>
      <c r="I120" s="29">
        <f t="shared" si="8"/>
        <v>19.430123711340205</v>
      </c>
      <c r="J120" s="29">
        <f t="shared" si="9"/>
        <v>16.566272164948455</v>
      </c>
      <c r="K120" s="34">
        <f t="shared" si="10"/>
        <v>16.400609443298968</v>
      </c>
      <c r="L120" s="34">
        <f t="shared" si="11"/>
        <v>16.400609443298968</v>
      </c>
      <c r="M120" s="34">
        <f t="shared" si="12"/>
        <v>79542.955799999996</v>
      </c>
      <c r="N120" s="33">
        <f t="shared" si="13"/>
        <v>803.46420000000001</v>
      </c>
      <c r="O120" s="4">
        <f t="shared" si="14"/>
        <v>16.566272164948455</v>
      </c>
      <c r="P120" s="32">
        <f>Tabla14[[#This Row],[ORO SIN IVA]]*1.19</f>
        <v>80346.42</v>
      </c>
      <c r="Q120" s="31">
        <f t="shared" si="15"/>
        <v>19.430123711340205</v>
      </c>
      <c r="R120" s="45">
        <f>Tabla14[[#This Row],[INSTALLER SIN IVA]]*1.19</f>
        <v>94236.099999999991</v>
      </c>
      <c r="S120" s="39">
        <v>67518</v>
      </c>
      <c r="T120" s="4">
        <v>79190</v>
      </c>
    </row>
    <row r="121" spans="1:20" ht="27" x14ac:dyDescent="0.25">
      <c r="A121" s="38" t="s">
        <v>177</v>
      </c>
      <c r="B121" s="37" t="s">
        <v>176</v>
      </c>
      <c r="C121" s="36">
        <f>+Tabla14[[#This Row],[PRECIO SUGERIDO INSTALADOR2]]</f>
        <v>110504.59</v>
      </c>
      <c r="D121" s="36">
        <f>+Tabla14[[#This Row],[PRECIO  INSTALADOR
( CON  IVA)]]-Tabla14[[#This Row],[Columna1]]</f>
        <v>104979.3605</v>
      </c>
      <c r="E121" s="36">
        <f>+Tabla14[[#This Row],[DPP ORO2]]</f>
        <v>94180.17</v>
      </c>
      <c r="F121" s="36">
        <f>+Tabla14[[#This Row],[Columna4]]</f>
        <v>93238.368300000002</v>
      </c>
      <c r="G121" s="36">
        <f>+Tabla14[[#This Row],[PRECIO  INSTALADOR
( CON  IVA)]]/0.7</f>
        <v>157863.70000000001</v>
      </c>
      <c r="H121" s="35">
        <f>+Tabla14[[#This Row],[PRECIO SUGERIDO INSTALADOR2]]*5%</f>
        <v>5525.2295000000004</v>
      </c>
      <c r="I121" s="29">
        <f t="shared" si="8"/>
        <v>22.78445154639175</v>
      </c>
      <c r="J121" s="29">
        <f t="shared" si="9"/>
        <v>19.418591752577321</v>
      </c>
      <c r="K121" s="34">
        <f t="shared" si="10"/>
        <v>19.224405835051545</v>
      </c>
      <c r="L121" s="34">
        <f t="shared" si="11"/>
        <v>19.224405835051545</v>
      </c>
      <c r="M121" s="34">
        <f t="shared" si="12"/>
        <v>93238.368300000002</v>
      </c>
      <c r="N121" s="33">
        <f t="shared" si="13"/>
        <v>941.80169999999998</v>
      </c>
      <c r="O121" s="4">
        <f t="shared" si="14"/>
        <v>19.418591752577321</v>
      </c>
      <c r="P121" s="32">
        <f>Tabla14[[#This Row],[ORO SIN IVA]]*1.19</f>
        <v>94180.17</v>
      </c>
      <c r="Q121" s="31">
        <f t="shared" si="15"/>
        <v>22.78445154639175</v>
      </c>
      <c r="R121" s="45">
        <f>Tabla14[[#This Row],[INSTALLER SIN IVA]]*1.19</f>
        <v>110504.59</v>
      </c>
      <c r="S121" s="39">
        <v>79143</v>
      </c>
      <c r="T121" s="4">
        <v>92861</v>
      </c>
    </row>
    <row r="122" spans="1:20" ht="27" x14ac:dyDescent="0.25">
      <c r="A122" s="47" t="s">
        <v>175</v>
      </c>
      <c r="B122" s="46" t="s">
        <v>173</v>
      </c>
      <c r="C122" s="36">
        <f>+Tabla14[[#This Row],[PRECIO SUGERIDO INSTALADOR2]]</f>
        <v>159918.15</v>
      </c>
      <c r="D122" s="36">
        <f>+Tabla14[[#This Row],[PRECIO  INSTALADOR
( CON  IVA)]]-Tabla14[[#This Row],[Columna1]]</f>
        <v>151922.24249999999</v>
      </c>
      <c r="E122" s="36">
        <f>+Tabla14[[#This Row],[DPP ORO2]]</f>
        <v>136345.44</v>
      </c>
      <c r="F122" s="36">
        <f>+Tabla14[[#This Row],[Columna4]]</f>
        <v>134981.98560000001</v>
      </c>
      <c r="G122" s="36">
        <f>+Tabla14[[#This Row],[PRECIO  INSTALADOR
( CON  IVA)]]/0.7</f>
        <v>228454.5</v>
      </c>
      <c r="H122" s="35">
        <f>+Tabla14[[#This Row],[PRECIO SUGERIDO INSTALADOR2]]*5%</f>
        <v>7995.9075000000003</v>
      </c>
      <c r="I122" s="29">
        <f t="shared" si="8"/>
        <v>32.972814432989686</v>
      </c>
      <c r="J122" s="29">
        <f t="shared" si="9"/>
        <v>28.112461855670105</v>
      </c>
      <c r="K122" s="34">
        <f t="shared" si="10"/>
        <v>27.831337237113406</v>
      </c>
      <c r="L122" s="34">
        <f t="shared" si="11"/>
        <v>27.831337237113406</v>
      </c>
      <c r="M122" s="34">
        <f t="shared" si="12"/>
        <v>134981.98560000001</v>
      </c>
      <c r="N122" s="33">
        <f t="shared" si="13"/>
        <v>1363.4544000000001</v>
      </c>
      <c r="O122" s="4">
        <f t="shared" si="14"/>
        <v>28.112461855670105</v>
      </c>
      <c r="P122" s="32">
        <f>Tabla14[[#This Row],[ORO SIN IVA]]*1.19</f>
        <v>136345.44</v>
      </c>
      <c r="Q122" s="31">
        <f t="shared" si="15"/>
        <v>32.972814432989686</v>
      </c>
      <c r="R122" s="45">
        <f>Tabla14[[#This Row],[INSTALLER SIN IVA]]*1.19</f>
        <v>159918.15</v>
      </c>
      <c r="S122" s="39">
        <v>114576</v>
      </c>
      <c r="T122" s="4">
        <v>134385</v>
      </c>
    </row>
    <row r="123" spans="1:20" ht="27" x14ac:dyDescent="0.25">
      <c r="A123" s="47" t="s">
        <v>174</v>
      </c>
      <c r="B123" s="48" t="s">
        <v>173</v>
      </c>
      <c r="C123" s="36">
        <f>+Tabla14[[#This Row],[PRECIO SUGERIDO INSTALADOR2]]</f>
        <v>155547.28</v>
      </c>
      <c r="D123" s="36">
        <f>+Tabla14[[#This Row],[PRECIO  INSTALADOR
( CON  IVA)]]-Tabla14[[#This Row],[Columna1]]</f>
        <v>147769.916</v>
      </c>
      <c r="E123" s="36">
        <f>+Tabla14[[#This Row],[DPP ORO2]]</f>
        <v>132582.66</v>
      </c>
      <c r="F123" s="36">
        <f>+Tabla14[[#This Row],[Columna4]]</f>
        <v>131256.8334</v>
      </c>
      <c r="G123" s="36">
        <f>+Tabla14[[#This Row],[PRECIO  INSTALADOR
( CON  IVA)]]/0.7</f>
        <v>222210.40000000002</v>
      </c>
      <c r="H123" s="35">
        <f>+Tabla14[[#This Row],[PRECIO SUGERIDO INSTALADOR2]]*5%</f>
        <v>7777.3640000000005</v>
      </c>
      <c r="I123" s="29">
        <f t="shared" si="8"/>
        <v>32.071604123711339</v>
      </c>
      <c r="J123" s="29">
        <f t="shared" si="9"/>
        <v>27.336630927835053</v>
      </c>
      <c r="K123" s="34">
        <f t="shared" si="10"/>
        <v>27.063264618556701</v>
      </c>
      <c r="L123" s="34">
        <f t="shared" si="11"/>
        <v>27.063264618556701</v>
      </c>
      <c r="M123" s="34">
        <f t="shared" si="12"/>
        <v>131256.8334</v>
      </c>
      <c r="N123" s="33">
        <f t="shared" si="13"/>
        <v>1325.8266000000001</v>
      </c>
      <c r="O123" s="4">
        <f t="shared" si="14"/>
        <v>27.336630927835053</v>
      </c>
      <c r="P123" s="32">
        <f>Tabla14[[#This Row],[ORO SIN IVA]]*1.19</f>
        <v>132582.66</v>
      </c>
      <c r="Q123" s="31">
        <f t="shared" si="15"/>
        <v>32.071604123711339</v>
      </c>
      <c r="R123" s="45">
        <f>Tabla14[[#This Row],[INSTALLER SIN IVA]]*1.19</f>
        <v>155547.28</v>
      </c>
      <c r="S123" s="39">
        <v>111414</v>
      </c>
      <c r="T123" s="4">
        <v>130712</v>
      </c>
    </row>
    <row r="124" spans="1:20" ht="27" x14ac:dyDescent="0.25">
      <c r="A124" s="38" t="s">
        <v>172</v>
      </c>
      <c r="B124" s="37" t="s">
        <v>170</v>
      </c>
      <c r="C124" s="36">
        <f>+Tabla14[[#This Row],[PRECIO SUGERIDO INSTALADOR2]]</f>
        <v>143317.65</v>
      </c>
      <c r="D124" s="36">
        <f>+Tabla14[[#This Row],[PRECIO  INSTALADOR
( CON  IVA)]]-Tabla14[[#This Row],[Columna1]]</f>
        <v>136151.76749999999</v>
      </c>
      <c r="E124" s="36">
        <f>+Tabla14[[#This Row],[DPP ORO2]]</f>
        <v>122179.68</v>
      </c>
      <c r="F124" s="36">
        <f>+Tabla14[[#This Row],[Columna4]]</f>
        <v>120957.8832</v>
      </c>
      <c r="G124" s="36">
        <f>+Tabla14[[#This Row],[PRECIO  INSTALADOR
( CON  IVA)]]/0.7</f>
        <v>204739.5</v>
      </c>
      <c r="H124" s="35">
        <f>+Tabla14[[#This Row],[PRECIO SUGERIDO INSTALADOR2]]*5%</f>
        <v>7165.8824999999997</v>
      </c>
      <c r="I124" s="29">
        <f t="shared" si="8"/>
        <v>29.550030927835049</v>
      </c>
      <c r="J124" s="29">
        <f t="shared" si="9"/>
        <v>25.191686597938144</v>
      </c>
      <c r="K124" s="34">
        <f t="shared" si="10"/>
        <v>24.939769731958762</v>
      </c>
      <c r="L124" s="34">
        <f t="shared" si="11"/>
        <v>24.939769731958762</v>
      </c>
      <c r="M124" s="34">
        <f t="shared" si="12"/>
        <v>120957.8832</v>
      </c>
      <c r="N124" s="33">
        <f t="shared" si="13"/>
        <v>1221.7967999999998</v>
      </c>
      <c r="O124" s="4">
        <f t="shared" si="14"/>
        <v>25.191686597938144</v>
      </c>
      <c r="P124" s="32">
        <f>Tabla14[[#This Row],[ORO SIN IVA]]*1.19</f>
        <v>122179.68</v>
      </c>
      <c r="Q124" s="31">
        <f t="shared" si="15"/>
        <v>29.550030927835049</v>
      </c>
      <c r="R124" s="45">
        <f>Tabla14[[#This Row],[INSTALLER SIN IVA]]*1.19</f>
        <v>143317.65</v>
      </c>
      <c r="S124" s="39">
        <v>102672</v>
      </c>
      <c r="T124" s="4">
        <v>120435</v>
      </c>
    </row>
    <row r="125" spans="1:20" ht="27" x14ac:dyDescent="0.25">
      <c r="A125" s="38" t="s">
        <v>171</v>
      </c>
      <c r="B125" s="37" t="s">
        <v>170</v>
      </c>
      <c r="C125" s="36">
        <f>+Tabla14[[#This Row],[PRECIO SUGERIDO INSTALADOR2]]</f>
        <v>143317.65</v>
      </c>
      <c r="D125" s="36">
        <f>+Tabla14[[#This Row],[PRECIO  INSTALADOR
( CON  IVA)]]-Tabla14[[#This Row],[Columna1]]</f>
        <v>136151.76749999999</v>
      </c>
      <c r="E125" s="36">
        <f>+Tabla14[[#This Row],[DPP ORO2]]</f>
        <v>122179.68</v>
      </c>
      <c r="F125" s="36">
        <f>+Tabla14[[#This Row],[Columna4]]</f>
        <v>120957.8832</v>
      </c>
      <c r="G125" s="36">
        <f>+Tabla14[[#This Row],[PRECIO  INSTALADOR
( CON  IVA)]]/0.7</f>
        <v>204739.5</v>
      </c>
      <c r="H125" s="35">
        <f>+Tabla14[[#This Row],[PRECIO SUGERIDO INSTALADOR2]]*5%</f>
        <v>7165.8824999999997</v>
      </c>
      <c r="I125" s="29">
        <f t="shared" si="8"/>
        <v>29.550030927835049</v>
      </c>
      <c r="J125" s="29">
        <f t="shared" si="9"/>
        <v>25.191686597938144</v>
      </c>
      <c r="K125" s="34">
        <f t="shared" si="10"/>
        <v>24.939769731958762</v>
      </c>
      <c r="L125" s="34">
        <f t="shared" si="11"/>
        <v>24.939769731958762</v>
      </c>
      <c r="M125" s="34">
        <f t="shared" si="12"/>
        <v>120957.8832</v>
      </c>
      <c r="N125" s="33">
        <f t="shared" si="13"/>
        <v>1221.7967999999998</v>
      </c>
      <c r="O125" s="4">
        <f t="shared" si="14"/>
        <v>25.191686597938144</v>
      </c>
      <c r="P125" s="32">
        <f>Tabla14[[#This Row],[ORO SIN IVA]]*1.19</f>
        <v>122179.68</v>
      </c>
      <c r="Q125" s="31">
        <f t="shared" si="15"/>
        <v>29.550030927835049</v>
      </c>
      <c r="R125" s="45">
        <f>Tabla14[[#This Row],[INSTALLER SIN IVA]]*1.19</f>
        <v>143317.65</v>
      </c>
      <c r="S125" s="39">
        <v>102672</v>
      </c>
      <c r="T125" s="4">
        <v>120435</v>
      </c>
    </row>
    <row r="126" spans="1:20" ht="27" x14ac:dyDescent="0.25">
      <c r="A126" s="38" t="s">
        <v>169</v>
      </c>
      <c r="B126" s="37" t="s">
        <v>167</v>
      </c>
      <c r="C126" s="36">
        <f>+Tabla14[[#This Row],[PRECIO SUGERIDO INSTALADOR2]]</f>
        <v>140496.16</v>
      </c>
      <c r="D126" s="36">
        <f>+Tabla14[[#This Row],[PRECIO  INSTALADOR
( CON  IVA)]]-Tabla14[[#This Row],[Columna1]]</f>
        <v>133471.35200000001</v>
      </c>
      <c r="E126" s="36">
        <f>+Tabla14[[#This Row],[DPP ORO2]]</f>
        <v>119744.93999999999</v>
      </c>
      <c r="F126" s="36">
        <f>+Tabla14[[#This Row],[Columna4]]</f>
        <v>118547.49059999999</v>
      </c>
      <c r="G126" s="36">
        <f>+Tabla14[[#This Row],[PRECIO  INSTALADOR
( CON  IVA)]]/0.7</f>
        <v>200708.80000000002</v>
      </c>
      <c r="H126" s="35">
        <f>+Tabla14[[#This Row],[PRECIO SUGERIDO INSTALADOR2]]*5%</f>
        <v>7024.8080000000009</v>
      </c>
      <c r="I126" s="29">
        <f t="shared" si="8"/>
        <v>28.968280412371136</v>
      </c>
      <c r="J126" s="29">
        <f t="shared" si="9"/>
        <v>24.689678350515461</v>
      </c>
      <c r="K126" s="34">
        <f t="shared" si="10"/>
        <v>24.442781567010307</v>
      </c>
      <c r="L126" s="34">
        <f t="shared" si="11"/>
        <v>24.442781567010307</v>
      </c>
      <c r="M126" s="34">
        <f t="shared" si="12"/>
        <v>118547.49059999999</v>
      </c>
      <c r="N126" s="33">
        <f t="shared" si="13"/>
        <v>1197.4494</v>
      </c>
      <c r="O126" s="4">
        <f t="shared" si="14"/>
        <v>24.689678350515461</v>
      </c>
      <c r="P126" s="32">
        <f>Tabla14[[#This Row],[ORO SIN IVA]]*1.19</f>
        <v>119744.93999999999</v>
      </c>
      <c r="Q126" s="31">
        <f t="shared" si="15"/>
        <v>28.968280412371136</v>
      </c>
      <c r="R126" s="45">
        <f>Tabla14[[#This Row],[INSTALLER SIN IVA]]*1.19</f>
        <v>140496.16</v>
      </c>
      <c r="S126" s="39">
        <v>100626</v>
      </c>
      <c r="T126" s="4">
        <v>118064</v>
      </c>
    </row>
    <row r="127" spans="1:20" ht="27" x14ac:dyDescent="0.25">
      <c r="A127" s="38" t="s">
        <v>168</v>
      </c>
      <c r="B127" s="37" t="s">
        <v>167</v>
      </c>
      <c r="C127" s="36">
        <f>+Tabla14[[#This Row],[PRECIO SUGERIDO INSTALADOR2]]</f>
        <v>153831.29999999999</v>
      </c>
      <c r="D127" s="36">
        <f>+Tabla14[[#This Row],[PRECIO  INSTALADOR
( CON  IVA)]]-Tabla14[[#This Row],[Columna1]]</f>
        <v>146139.73499999999</v>
      </c>
      <c r="E127" s="36">
        <f>+Tabla14[[#This Row],[DPP ORO2]]</f>
        <v>131143.94999999998</v>
      </c>
      <c r="F127" s="36">
        <f>+Tabla14[[#This Row],[Columna4]]</f>
        <v>129832.51049999999</v>
      </c>
      <c r="G127" s="36">
        <f>+Tabla14[[#This Row],[PRECIO  INSTALADOR
( CON  IVA)]]/0.7</f>
        <v>219759</v>
      </c>
      <c r="H127" s="35">
        <f>+Tabla14[[#This Row],[PRECIO SUGERIDO INSTALADOR2]]*5%</f>
        <v>7691.5649999999996</v>
      </c>
      <c r="I127" s="29">
        <f t="shared" si="8"/>
        <v>31.717793814432987</v>
      </c>
      <c r="J127" s="29">
        <f t="shared" si="9"/>
        <v>27.039989690721647</v>
      </c>
      <c r="K127" s="34">
        <f t="shared" si="10"/>
        <v>26.769589793814429</v>
      </c>
      <c r="L127" s="34">
        <f t="shared" si="11"/>
        <v>26.769589793814429</v>
      </c>
      <c r="M127" s="34">
        <f t="shared" si="12"/>
        <v>129832.51049999999</v>
      </c>
      <c r="N127" s="33">
        <f t="shared" si="13"/>
        <v>1311.4395</v>
      </c>
      <c r="O127" s="4">
        <f t="shared" si="14"/>
        <v>27.039989690721647</v>
      </c>
      <c r="P127" s="32">
        <f>Tabla14[[#This Row],[ORO SIN IVA]]*1.19</f>
        <v>131143.94999999998</v>
      </c>
      <c r="Q127" s="31">
        <f t="shared" si="15"/>
        <v>31.717793814432987</v>
      </c>
      <c r="R127" s="45">
        <f>Tabla14[[#This Row],[INSTALLER SIN IVA]]*1.19</f>
        <v>153831.29999999999</v>
      </c>
      <c r="S127" s="39">
        <v>110205</v>
      </c>
      <c r="T127" s="4">
        <v>129270</v>
      </c>
    </row>
    <row r="128" spans="1:20" ht="27" x14ac:dyDescent="0.25">
      <c r="A128" s="47" t="s">
        <v>166</v>
      </c>
      <c r="B128" s="46" t="s">
        <v>165</v>
      </c>
      <c r="C128" s="36">
        <f>+Tabla14[[#This Row],[PRECIO SUGERIDO INSTALADOR2]]</f>
        <v>141824.19999999998</v>
      </c>
      <c r="D128" s="36">
        <f>+Tabla14[[#This Row],[PRECIO  INSTALADOR
( CON  IVA)]]-Tabla14[[#This Row],[Columna1]]</f>
        <v>134732.99</v>
      </c>
      <c r="E128" s="36">
        <f>+Tabla14[[#This Row],[DPP ORO2]]</f>
        <v>120907.56999999999</v>
      </c>
      <c r="F128" s="36">
        <f>+Tabla14[[#This Row],[Columna4]]</f>
        <v>119698.49429999999</v>
      </c>
      <c r="G128" s="36">
        <f>+Tabla14[[#This Row],[PRECIO  INSTALADOR
( CON  IVA)]]/0.7</f>
        <v>202606</v>
      </c>
      <c r="H128" s="35">
        <f>+Tabla14[[#This Row],[PRECIO SUGERIDO INSTALADOR2]]*5%</f>
        <v>7091.2099999999991</v>
      </c>
      <c r="I128" s="29">
        <f t="shared" si="8"/>
        <v>29.242103092783502</v>
      </c>
      <c r="J128" s="29">
        <f t="shared" si="9"/>
        <v>24.929395876288659</v>
      </c>
      <c r="K128" s="34">
        <f t="shared" si="10"/>
        <v>24.680101917525771</v>
      </c>
      <c r="L128" s="34">
        <f t="shared" si="11"/>
        <v>24.680101917525771</v>
      </c>
      <c r="M128" s="34">
        <f t="shared" si="12"/>
        <v>119698.49429999999</v>
      </c>
      <c r="N128" s="33">
        <f t="shared" si="13"/>
        <v>1209.0756999999999</v>
      </c>
      <c r="O128" s="4">
        <f t="shared" si="14"/>
        <v>24.929395876288659</v>
      </c>
      <c r="P128" s="32">
        <f>Tabla14[[#This Row],[ORO SIN IVA]]*1.19</f>
        <v>120907.56999999999</v>
      </c>
      <c r="Q128" s="31">
        <f t="shared" si="15"/>
        <v>29.242103092783502</v>
      </c>
      <c r="R128" s="45">
        <f>Tabla14[[#This Row],[INSTALLER SIN IVA]]*1.19</f>
        <v>141824.19999999998</v>
      </c>
      <c r="S128" s="39">
        <v>101603</v>
      </c>
      <c r="T128" s="4">
        <v>119180</v>
      </c>
    </row>
    <row r="129" spans="1:20" ht="27" x14ac:dyDescent="0.25">
      <c r="A129" s="47" t="s">
        <v>164</v>
      </c>
      <c r="B129" s="46" t="s">
        <v>163</v>
      </c>
      <c r="C129" s="36">
        <f>+Tabla14[[#This Row],[PRECIO SUGERIDO INSTALADOR2]]</f>
        <v>155380.68</v>
      </c>
      <c r="D129" s="36">
        <f>+Tabla14[[#This Row],[PRECIO  INSTALADOR
( CON  IVA)]]-Tabla14[[#This Row],[Columna1]]</f>
        <v>147611.64600000001</v>
      </c>
      <c r="E129" s="36">
        <f>+Tabla14[[#This Row],[DPP ORO2]]</f>
        <v>132471.99</v>
      </c>
      <c r="F129" s="36">
        <f>+Tabla14[[#This Row],[Columna4]]</f>
        <v>131147.27009999999</v>
      </c>
      <c r="G129" s="36">
        <f>+Tabla14[[#This Row],[PRECIO  INSTALADOR
( CON  IVA)]]/0.7</f>
        <v>221972.4</v>
      </c>
      <c r="H129" s="35">
        <f>+Tabla14[[#This Row],[PRECIO SUGERIDO INSTALADOR2]]*5%</f>
        <v>7769.0339999999997</v>
      </c>
      <c r="I129" s="29">
        <f t="shared" si="8"/>
        <v>32.037253608247418</v>
      </c>
      <c r="J129" s="29">
        <f t="shared" si="9"/>
        <v>27.31381237113402</v>
      </c>
      <c r="K129" s="34">
        <f t="shared" si="10"/>
        <v>27.040674247422679</v>
      </c>
      <c r="L129" s="34">
        <f t="shared" si="11"/>
        <v>27.040674247422679</v>
      </c>
      <c r="M129" s="34">
        <f t="shared" si="12"/>
        <v>131147.27009999999</v>
      </c>
      <c r="N129" s="33">
        <f t="shared" si="13"/>
        <v>1324.7198999999998</v>
      </c>
      <c r="O129" s="4">
        <f t="shared" si="14"/>
        <v>27.31381237113402</v>
      </c>
      <c r="P129" s="32">
        <f>Tabla14[[#This Row],[ORO SIN IVA]]*1.19</f>
        <v>132471.99</v>
      </c>
      <c r="Q129" s="31">
        <f t="shared" si="15"/>
        <v>32.037253608247418</v>
      </c>
      <c r="R129" s="45">
        <f>Tabla14[[#This Row],[INSTALLER SIN IVA]]*1.19</f>
        <v>155380.68</v>
      </c>
      <c r="S129" s="39">
        <v>111321</v>
      </c>
      <c r="T129" s="4">
        <v>130572</v>
      </c>
    </row>
    <row r="130" spans="1:20" ht="27" x14ac:dyDescent="0.25">
      <c r="A130" s="38" t="s">
        <v>162</v>
      </c>
      <c r="B130" s="37" t="s">
        <v>161</v>
      </c>
      <c r="C130" s="36">
        <f>+Tabla14[[#This Row],[PRECIO SUGERIDO INSTALADOR2]]</f>
        <v>162795.57</v>
      </c>
      <c r="D130" s="36">
        <f>+Tabla14[[#This Row],[PRECIO  INSTALADOR
( CON  IVA)]]-Tabla14[[#This Row],[Columna1]]</f>
        <v>154655.79149999999</v>
      </c>
      <c r="E130" s="36">
        <f>+Tabla14[[#This Row],[DPP ORO2]]</f>
        <v>138780.18</v>
      </c>
      <c r="F130" s="36">
        <f>+Tabla14[[#This Row],[Columna4]]</f>
        <v>137392.37820000001</v>
      </c>
      <c r="G130" s="36">
        <f>+Tabla14[[#This Row],[PRECIO  INSTALADOR
( CON  IVA)]]/0.7</f>
        <v>232565.10000000003</v>
      </c>
      <c r="H130" s="35">
        <f>+Tabla14[[#This Row],[PRECIO SUGERIDO INSTALADOR2]]*5%</f>
        <v>8139.7785000000003</v>
      </c>
      <c r="I130" s="29">
        <f t="shared" si="8"/>
        <v>33.566096907216497</v>
      </c>
      <c r="J130" s="29">
        <f t="shared" si="9"/>
        <v>28.614470103092781</v>
      </c>
      <c r="K130" s="34">
        <f t="shared" si="10"/>
        <v>28.328325402061857</v>
      </c>
      <c r="L130" s="34">
        <f t="shared" si="11"/>
        <v>28.328325402061857</v>
      </c>
      <c r="M130" s="34">
        <f t="shared" si="12"/>
        <v>137392.37820000001</v>
      </c>
      <c r="N130" s="33">
        <f t="shared" si="13"/>
        <v>1387.8018</v>
      </c>
      <c r="O130" s="4">
        <f t="shared" si="14"/>
        <v>28.614470103092781</v>
      </c>
      <c r="P130" s="32">
        <f>Tabla14[[#This Row],[ORO SIN IVA]]*1.19</f>
        <v>138780.18</v>
      </c>
      <c r="Q130" s="31">
        <f t="shared" si="15"/>
        <v>33.566096907216497</v>
      </c>
      <c r="R130" s="45">
        <f>Tabla14[[#This Row],[INSTALLER SIN IVA]]*1.19</f>
        <v>162795.57</v>
      </c>
      <c r="S130" s="39">
        <v>116622</v>
      </c>
      <c r="T130" s="4">
        <v>136803</v>
      </c>
    </row>
    <row r="131" spans="1:20" ht="27" x14ac:dyDescent="0.25">
      <c r="A131" s="47" t="s">
        <v>160</v>
      </c>
      <c r="B131" s="46" t="s">
        <v>159</v>
      </c>
      <c r="C131" s="36">
        <f>+Tabla14[[#This Row],[PRECIO SUGERIDO INSTALADOR2]]</f>
        <v>151009.81</v>
      </c>
      <c r="D131" s="36">
        <f>+Tabla14[[#This Row],[PRECIO  INSTALADOR
( CON  IVA)]]-Tabla14[[#This Row],[Columna1]]</f>
        <v>143459.31949999998</v>
      </c>
      <c r="E131" s="36">
        <f>+Tabla14[[#This Row],[DPP ORO2]]</f>
        <v>128709.20999999999</v>
      </c>
      <c r="F131" s="36">
        <f>+Tabla14[[#This Row],[Columna4]]</f>
        <v>127422.1179</v>
      </c>
      <c r="G131" s="36">
        <f>+Tabla14[[#This Row],[PRECIO  INSTALADOR
( CON  IVA)]]/0.7</f>
        <v>215728.30000000002</v>
      </c>
      <c r="H131" s="35">
        <f>+Tabla14[[#This Row],[PRECIO SUGERIDO INSTALADOR2]]*5%</f>
        <v>7550.4904999999999</v>
      </c>
      <c r="I131" s="29">
        <f t="shared" ref="I131:I194" si="16">+Q131</f>
        <v>31.136043298969071</v>
      </c>
      <c r="J131" s="29">
        <f t="shared" ref="J131:J194" si="17">+O131</f>
        <v>26.537981443298968</v>
      </c>
      <c r="K131" s="34">
        <f t="shared" ref="K131:K194" si="18">+L131</f>
        <v>26.272601628865978</v>
      </c>
      <c r="L131" s="34">
        <f t="shared" ref="L131:L194" si="19">+M131/$P$1</f>
        <v>26.272601628865978</v>
      </c>
      <c r="M131" s="34">
        <f t="shared" ref="M131:M194" si="20">+P131-N131</f>
        <v>127422.1179</v>
      </c>
      <c r="N131" s="33">
        <f t="shared" ref="N131:N194" si="21">+P131*1%</f>
        <v>1287.0920999999998</v>
      </c>
      <c r="O131" s="4">
        <f t="shared" ref="O131:O194" si="22">+P131/$P$1</f>
        <v>26.537981443298968</v>
      </c>
      <c r="P131" s="32">
        <f>Tabla14[[#This Row],[ORO SIN IVA]]*1.19</f>
        <v>128709.20999999999</v>
      </c>
      <c r="Q131" s="31">
        <f t="shared" ref="Q131:Q194" si="23">+R131/$P$1</f>
        <v>31.136043298969071</v>
      </c>
      <c r="R131" s="45">
        <f>Tabla14[[#This Row],[INSTALLER SIN IVA]]*1.19</f>
        <v>151009.81</v>
      </c>
      <c r="S131" s="39">
        <v>108159</v>
      </c>
      <c r="T131" s="4">
        <v>126899</v>
      </c>
    </row>
    <row r="132" spans="1:20" ht="27" x14ac:dyDescent="0.25">
      <c r="A132" s="47" t="s">
        <v>158</v>
      </c>
      <c r="B132" s="46" t="s">
        <v>157</v>
      </c>
      <c r="C132" s="36">
        <f>+Tabla14[[#This Row],[PRECIO SUGERIDO INSTALADOR2]]</f>
        <v>394649.22</v>
      </c>
      <c r="D132" s="36">
        <f>+Tabla14[[#This Row],[PRECIO  INSTALADOR
( CON  IVA)]]-Tabla14[[#This Row],[Columna1]]</f>
        <v>374916.75899999996</v>
      </c>
      <c r="E132" s="36">
        <f>+Tabla14[[#This Row],[DPP ORO2]]</f>
        <v>336436.8</v>
      </c>
      <c r="F132" s="36">
        <f>+Tabla14[[#This Row],[Columna4]]</f>
        <v>333072.43199999997</v>
      </c>
      <c r="G132" s="36">
        <f>+Tabla14[[#This Row],[PRECIO  INSTALADOR
( CON  IVA)]]/0.7</f>
        <v>563784.6</v>
      </c>
      <c r="H132" s="35">
        <f>+Tabla14[[#This Row],[PRECIO SUGERIDO INSTALADOR2]]*5%</f>
        <v>19732.460999999999</v>
      </c>
      <c r="I132" s="29">
        <f t="shared" si="16"/>
        <v>81.370973195876289</v>
      </c>
      <c r="J132" s="29">
        <f t="shared" si="17"/>
        <v>69.368412371134013</v>
      </c>
      <c r="K132" s="34">
        <f t="shared" si="18"/>
        <v>68.674728247422678</v>
      </c>
      <c r="L132" s="34">
        <f t="shared" si="19"/>
        <v>68.674728247422678</v>
      </c>
      <c r="M132" s="34">
        <f t="shared" si="20"/>
        <v>333072.43199999997</v>
      </c>
      <c r="N132" s="33">
        <f t="shared" si="21"/>
        <v>3364.3679999999999</v>
      </c>
      <c r="O132" s="4">
        <f t="shared" si="22"/>
        <v>69.368412371134013</v>
      </c>
      <c r="P132" s="32">
        <f>Tabla14[[#This Row],[ORO SIN IVA]]*1.19</f>
        <v>336436.8</v>
      </c>
      <c r="Q132" s="31">
        <f t="shared" si="23"/>
        <v>81.370973195876289</v>
      </c>
      <c r="R132" s="45">
        <f>Tabla14[[#This Row],[INSTALLER SIN IVA]]*1.19</f>
        <v>394649.22</v>
      </c>
      <c r="S132" s="39">
        <v>282720</v>
      </c>
      <c r="T132" s="4">
        <v>331638</v>
      </c>
    </row>
    <row r="133" spans="1:20" ht="27" x14ac:dyDescent="0.25">
      <c r="A133" s="38" t="s">
        <v>156</v>
      </c>
      <c r="B133" s="37" t="s">
        <v>155</v>
      </c>
      <c r="C133" s="36">
        <f>+Tabla14[[#This Row],[PRECIO SUGERIDO INSTALADOR2]]</f>
        <v>476987.69999999995</v>
      </c>
      <c r="D133" s="36">
        <f>+Tabla14[[#This Row],[PRECIO  INSTALADOR
( CON  IVA)]]-Tabla14[[#This Row],[Columna1]]</f>
        <v>453138.31499999994</v>
      </c>
      <c r="E133" s="36">
        <f>+Tabla14[[#This Row],[DPP ORO2]]</f>
        <v>406601.57999999996</v>
      </c>
      <c r="F133" s="36">
        <f>+Tabla14[[#This Row],[Columna4]]</f>
        <v>402535.56419999996</v>
      </c>
      <c r="G133" s="36">
        <f>+Tabla14[[#This Row],[PRECIO  INSTALADOR
( CON  IVA)]]/0.7</f>
        <v>681411</v>
      </c>
      <c r="H133" s="35">
        <f>+Tabla14[[#This Row],[PRECIO SUGERIDO INSTALADOR2]]*5%</f>
        <v>23849.384999999998</v>
      </c>
      <c r="I133" s="29">
        <f t="shared" si="16"/>
        <v>98.347979381443295</v>
      </c>
      <c r="J133" s="29">
        <f t="shared" si="17"/>
        <v>83.835377319587622</v>
      </c>
      <c r="K133" s="34">
        <f t="shared" si="18"/>
        <v>82.997023546391745</v>
      </c>
      <c r="L133" s="34">
        <f t="shared" si="19"/>
        <v>82.997023546391745</v>
      </c>
      <c r="M133" s="34">
        <f t="shared" si="20"/>
        <v>402535.56419999996</v>
      </c>
      <c r="N133" s="33">
        <f t="shared" si="21"/>
        <v>4066.0157999999997</v>
      </c>
      <c r="O133" s="4">
        <f t="shared" si="22"/>
        <v>83.835377319587622</v>
      </c>
      <c r="P133" s="32">
        <f>Tabla14[[#This Row],[ORO SIN IVA]]*1.19</f>
        <v>406601.57999999996</v>
      </c>
      <c r="Q133" s="31">
        <f t="shared" si="23"/>
        <v>98.347979381443295</v>
      </c>
      <c r="R133" s="45">
        <f>Tabla14[[#This Row],[INSTALLER SIN IVA]]*1.19</f>
        <v>476987.69999999995</v>
      </c>
      <c r="S133" s="39">
        <v>341682</v>
      </c>
      <c r="T133" s="4">
        <v>400830</v>
      </c>
    </row>
    <row r="134" spans="1:20" ht="27" x14ac:dyDescent="0.25">
      <c r="A134" s="47" t="s">
        <v>154</v>
      </c>
      <c r="B134" s="50" t="s">
        <v>153</v>
      </c>
      <c r="C134" s="36">
        <f>+Tabla14[[#This Row],[PRECIO SUGERIDO INSTALADOR2]]</f>
        <v>462932.61</v>
      </c>
      <c r="D134" s="36">
        <f>+Tabla14[[#This Row],[PRECIO  INSTALADOR
( CON  IVA)]]-Tabla14[[#This Row],[Columna1]]</f>
        <v>439785.97950000002</v>
      </c>
      <c r="E134" s="36">
        <f>+Tabla14[[#This Row],[DPP ORO2]]</f>
        <v>394649.22</v>
      </c>
      <c r="F134" s="36">
        <f>+Tabla14[[#This Row],[Columna4]]</f>
        <v>390702.72779999999</v>
      </c>
      <c r="G134" s="36">
        <f>+Tabla14[[#This Row],[PRECIO  INSTALADOR
( CON  IVA)]]/0.7</f>
        <v>661332.30000000005</v>
      </c>
      <c r="H134" s="35">
        <f>+Tabla14[[#This Row],[PRECIO SUGERIDO INSTALADOR2]]*5%</f>
        <v>23146.630499999999</v>
      </c>
      <c r="I134" s="29">
        <f t="shared" si="16"/>
        <v>95.450022680412374</v>
      </c>
      <c r="J134" s="29">
        <f t="shared" si="17"/>
        <v>81.370973195876289</v>
      </c>
      <c r="K134" s="34">
        <f t="shared" si="18"/>
        <v>80.557263463917522</v>
      </c>
      <c r="L134" s="34">
        <f t="shared" si="19"/>
        <v>80.557263463917522</v>
      </c>
      <c r="M134" s="34">
        <f t="shared" si="20"/>
        <v>390702.72779999999</v>
      </c>
      <c r="N134" s="33">
        <f t="shared" si="21"/>
        <v>3946.4921999999997</v>
      </c>
      <c r="O134" s="4">
        <f t="shared" si="22"/>
        <v>81.370973195876289</v>
      </c>
      <c r="P134" s="32">
        <f>Tabla14[[#This Row],[ORO SIN IVA]]*1.19</f>
        <v>394649.22</v>
      </c>
      <c r="Q134" s="31">
        <f t="shared" si="23"/>
        <v>95.450022680412374</v>
      </c>
      <c r="R134" s="45">
        <f>Tabla14[[#This Row],[INSTALLER SIN IVA]]*1.19</f>
        <v>462932.61</v>
      </c>
      <c r="S134" s="39">
        <v>331638</v>
      </c>
      <c r="T134" s="4">
        <v>389019</v>
      </c>
    </row>
    <row r="135" spans="1:20" ht="27" x14ac:dyDescent="0.25">
      <c r="A135" s="47" t="s">
        <v>152</v>
      </c>
      <c r="B135" s="46" t="s">
        <v>151</v>
      </c>
      <c r="C135" s="36">
        <f>+Tabla14[[#This Row],[PRECIO SUGERIDO INSTALADOR2]]</f>
        <v>79184.98</v>
      </c>
      <c r="D135" s="36">
        <f>+Tabla14[[#This Row],[PRECIO  INSTALADOR
( CON  IVA)]]-Tabla14[[#This Row],[Columna1]]</f>
        <v>75225.731</v>
      </c>
      <c r="E135" s="36">
        <f>+Tabla14[[#This Row],[DPP ORO2]]</f>
        <v>67508.7</v>
      </c>
      <c r="F135" s="36">
        <f>+Tabla14[[#This Row],[Columna4]]</f>
        <v>66833.612999999998</v>
      </c>
      <c r="G135" s="36">
        <f>+Tabla14[[#This Row],[PRECIO  INSTALADOR
( CON  IVA)]]/0.7</f>
        <v>113121.4</v>
      </c>
      <c r="H135" s="35">
        <f>+Tabla14[[#This Row],[PRECIO SUGERIDO INSTALADOR2]]*5%</f>
        <v>3959.2489999999998</v>
      </c>
      <c r="I135" s="29">
        <f t="shared" si="16"/>
        <v>16.326799999999999</v>
      </c>
      <c r="J135" s="29">
        <f t="shared" si="17"/>
        <v>13.919319587628866</v>
      </c>
      <c r="K135" s="34">
        <f t="shared" si="18"/>
        <v>13.780126391752576</v>
      </c>
      <c r="L135" s="34">
        <f t="shared" si="19"/>
        <v>13.780126391752576</v>
      </c>
      <c r="M135" s="34">
        <f t="shared" si="20"/>
        <v>66833.612999999998</v>
      </c>
      <c r="N135" s="33">
        <f t="shared" si="21"/>
        <v>675.08699999999999</v>
      </c>
      <c r="O135" s="4">
        <f t="shared" si="22"/>
        <v>13.919319587628866</v>
      </c>
      <c r="P135" s="32">
        <f>Tabla14[[#This Row],[ORO SIN IVA]]*1.19</f>
        <v>67508.7</v>
      </c>
      <c r="Q135" s="31">
        <f t="shared" si="23"/>
        <v>16.326799999999999</v>
      </c>
      <c r="R135" s="45">
        <f>Tabla14[[#This Row],[INSTALLER SIN IVA]]*1.19</f>
        <v>79184.98</v>
      </c>
      <c r="S135" s="39">
        <v>56730</v>
      </c>
      <c r="T135" s="4">
        <v>66542</v>
      </c>
    </row>
    <row r="136" spans="1:20" ht="15" x14ac:dyDescent="0.25">
      <c r="A136" s="38" t="s">
        <v>150</v>
      </c>
      <c r="B136" s="37" t="s">
        <v>149</v>
      </c>
      <c r="C136" s="36">
        <f>+Tabla14[[#This Row],[PRECIO SUGERIDO INSTALADOR2]]</f>
        <v>73872.819999999992</v>
      </c>
      <c r="D136" s="36">
        <f>+Tabla14[[#This Row],[PRECIO  INSTALADOR
( CON  IVA)]]-Tabla14[[#This Row],[Columna1]]</f>
        <v>70179.178999999989</v>
      </c>
      <c r="E136" s="36">
        <f>+Tabla14[[#This Row],[DPP ORO2]]</f>
        <v>62971.229999999996</v>
      </c>
      <c r="F136" s="36">
        <f>+Tabla14[[#This Row],[Columna4]]</f>
        <v>62341.517699999997</v>
      </c>
      <c r="G136" s="36">
        <f>+Tabla14[[#This Row],[PRECIO  INSTALADOR
( CON  IVA)]]/0.7</f>
        <v>105532.59999999999</v>
      </c>
      <c r="H136" s="35">
        <f>+Tabla14[[#This Row],[PRECIO SUGERIDO INSTALADOR2]]*5%</f>
        <v>3693.6409999999996</v>
      </c>
      <c r="I136" s="29">
        <f t="shared" si="16"/>
        <v>15.231509278350513</v>
      </c>
      <c r="J136" s="29">
        <f t="shared" si="17"/>
        <v>12.983758762886596</v>
      </c>
      <c r="K136" s="34">
        <f t="shared" si="18"/>
        <v>12.853921175257732</v>
      </c>
      <c r="L136" s="34">
        <f t="shared" si="19"/>
        <v>12.853921175257732</v>
      </c>
      <c r="M136" s="34">
        <f t="shared" si="20"/>
        <v>62341.517699999997</v>
      </c>
      <c r="N136" s="33">
        <f t="shared" si="21"/>
        <v>629.71230000000003</v>
      </c>
      <c r="O136" s="4">
        <f t="shared" si="22"/>
        <v>12.983758762886596</v>
      </c>
      <c r="P136" s="32">
        <f>Tabla14[[#This Row],[ORO SIN IVA]]*1.19</f>
        <v>62971.229999999996</v>
      </c>
      <c r="Q136" s="31">
        <f t="shared" si="23"/>
        <v>15.231509278350513</v>
      </c>
      <c r="R136" s="45">
        <f>Tabla14[[#This Row],[INSTALLER SIN IVA]]*1.19</f>
        <v>73872.819999999992</v>
      </c>
      <c r="S136" s="39">
        <v>52917</v>
      </c>
      <c r="T136" s="4">
        <v>62078</v>
      </c>
    </row>
    <row r="137" spans="1:20" ht="27" x14ac:dyDescent="0.25">
      <c r="A137" s="47" t="s">
        <v>148</v>
      </c>
      <c r="B137" s="48" t="s">
        <v>146</v>
      </c>
      <c r="C137" s="36">
        <f>+Tabla14[[#This Row],[PRECIO SUGERIDO INSTALADOR2]]</f>
        <v>103864.39</v>
      </c>
      <c r="D137" s="36">
        <f>+Tabla14[[#This Row],[PRECIO  INSTALADOR
( CON  IVA)]]-Tabla14[[#This Row],[Columna1]]</f>
        <v>98671.170499999993</v>
      </c>
      <c r="E137" s="36">
        <f>+Tabla14[[#This Row],[DPP ORO2]]</f>
        <v>88536</v>
      </c>
      <c r="F137" s="36">
        <f>+Tabla14[[#This Row],[Columna4]]</f>
        <v>87650.64</v>
      </c>
      <c r="G137" s="36">
        <f>+Tabla14[[#This Row],[PRECIO  INSTALADOR
( CON  IVA)]]/0.7</f>
        <v>148377.70000000001</v>
      </c>
      <c r="H137" s="35">
        <f>+Tabla14[[#This Row],[PRECIO SUGERIDO INSTALADOR2]]*5%</f>
        <v>5193.2195000000002</v>
      </c>
      <c r="I137" s="29">
        <f t="shared" si="16"/>
        <v>21.415338144329898</v>
      </c>
      <c r="J137" s="29">
        <f t="shared" si="17"/>
        <v>18.254845360824742</v>
      </c>
      <c r="K137" s="34">
        <f t="shared" si="18"/>
        <v>18.072296907216494</v>
      </c>
      <c r="L137" s="34">
        <f t="shared" si="19"/>
        <v>18.072296907216494</v>
      </c>
      <c r="M137" s="34">
        <f t="shared" si="20"/>
        <v>87650.64</v>
      </c>
      <c r="N137" s="33">
        <f t="shared" si="21"/>
        <v>885.36</v>
      </c>
      <c r="O137" s="4">
        <f t="shared" si="22"/>
        <v>18.254845360824742</v>
      </c>
      <c r="P137" s="32">
        <f>Tabla14[[#This Row],[ORO SIN IVA]]*1.19</f>
        <v>88536</v>
      </c>
      <c r="Q137" s="31">
        <f t="shared" si="23"/>
        <v>21.415338144329898</v>
      </c>
      <c r="R137" s="45">
        <f>Tabla14[[#This Row],[INSTALLER SIN IVA]]*1.19</f>
        <v>103864.39</v>
      </c>
      <c r="S137" s="39">
        <v>74400</v>
      </c>
      <c r="T137" s="4">
        <v>87281</v>
      </c>
    </row>
    <row r="138" spans="1:20" ht="27" x14ac:dyDescent="0.25">
      <c r="A138" s="38" t="s">
        <v>147</v>
      </c>
      <c r="B138" s="37" t="s">
        <v>146</v>
      </c>
      <c r="C138" s="36">
        <f>+Tabla14[[#This Row],[PRECIO SUGERIDO INSTALADOR2]]</f>
        <v>101816.4</v>
      </c>
      <c r="D138" s="36">
        <f>+Tabla14[[#This Row],[PRECIO  INSTALADOR
( CON  IVA)]]-Tabla14[[#This Row],[Columna1]]</f>
        <v>96725.579999999987</v>
      </c>
      <c r="E138" s="36">
        <f>+Tabla14[[#This Row],[DPP ORO2]]</f>
        <v>86821.209999999992</v>
      </c>
      <c r="F138" s="36">
        <f>+Tabla14[[#This Row],[Columna4]]</f>
        <v>85952.997899999988</v>
      </c>
      <c r="G138" s="36">
        <f>+Tabla14[[#This Row],[PRECIO  INSTALADOR
( CON  IVA)]]/0.7</f>
        <v>145452</v>
      </c>
      <c r="H138" s="35">
        <f>+Tabla14[[#This Row],[PRECIO SUGERIDO INSTALADOR2]]*5%</f>
        <v>5090.82</v>
      </c>
      <c r="I138" s="29">
        <f t="shared" si="16"/>
        <v>20.993072164948451</v>
      </c>
      <c r="J138" s="29">
        <f t="shared" si="17"/>
        <v>17.901280412371133</v>
      </c>
      <c r="K138" s="34">
        <f t="shared" si="18"/>
        <v>17.722267608247421</v>
      </c>
      <c r="L138" s="34">
        <f t="shared" si="19"/>
        <v>17.722267608247421</v>
      </c>
      <c r="M138" s="34">
        <f t="shared" si="20"/>
        <v>85952.997899999988</v>
      </c>
      <c r="N138" s="33">
        <f t="shared" si="21"/>
        <v>868.21209999999996</v>
      </c>
      <c r="O138" s="4">
        <f t="shared" si="22"/>
        <v>17.901280412371133</v>
      </c>
      <c r="P138" s="32">
        <f>Tabla14[[#This Row],[ORO SIN IVA]]*1.19</f>
        <v>86821.209999999992</v>
      </c>
      <c r="Q138" s="31">
        <f t="shared" si="23"/>
        <v>20.993072164948451</v>
      </c>
      <c r="R138" s="45">
        <f>Tabla14[[#This Row],[INSTALLER SIN IVA]]*1.19</f>
        <v>101816.4</v>
      </c>
      <c r="S138" s="39">
        <v>72959</v>
      </c>
      <c r="T138" s="4">
        <v>85560</v>
      </c>
    </row>
    <row r="139" spans="1:20" ht="27" x14ac:dyDescent="0.25">
      <c r="A139" s="38" t="s">
        <v>145</v>
      </c>
      <c r="B139" s="37" t="s">
        <v>144</v>
      </c>
      <c r="C139" s="36">
        <f>+Tabla14[[#This Row],[PRECIO SUGERIDO INSTALADOR2]]</f>
        <v>109341.95999999999</v>
      </c>
      <c r="D139" s="36">
        <f>+Tabla14[[#This Row],[PRECIO  INSTALADOR
( CON  IVA)]]-Tabla14[[#This Row],[Columna1]]</f>
        <v>103874.86199999999</v>
      </c>
      <c r="E139" s="36">
        <f>+Tabla14[[#This Row],[DPP ORO2]]</f>
        <v>93240.069999999992</v>
      </c>
      <c r="F139" s="36">
        <f>+Tabla14[[#This Row],[Columna4]]</f>
        <v>92307.669299999994</v>
      </c>
      <c r="G139" s="36">
        <f>+Tabla14[[#This Row],[PRECIO  INSTALADOR
( CON  IVA)]]/0.7</f>
        <v>156202.79999999999</v>
      </c>
      <c r="H139" s="35">
        <f>+Tabla14[[#This Row],[PRECIO SUGERIDO INSTALADOR2]]*5%</f>
        <v>5467.098</v>
      </c>
      <c r="I139" s="29">
        <f t="shared" si="16"/>
        <v>22.544734020618556</v>
      </c>
      <c r="J139" s="29">
        <f t="shared" si="17"/>
        <v>19.224756701030927</v>
      </c>
      <c r="K139" s="34">
        <f t="shared" si="18"/>
        <v>19.032509134020618</v>
      </c>
      <c r="L139" s="34">
        <f t="shared" si="19"/>
        <v>19.032509134020618</v>
      </c>
      <c r="M139" s="34">
        <f t="shared" si="20"/>
        <v>92307.669299999994</v>
      </c>
      <c r="N139" s="33">
        <f t="shared" si="21"/>
        <v>932.40069999999992</v>
      </c>
      <c r="O139" s="4">
        <f t="shared" si="22"/>
        <v>19.224756701030927</v>
      </c>
      <c r="P139" s="32">
        <f>Tabla14[[#This Row],[ORO SIN IVA]]*1.19</f>
        <v>93240.069999999992</v>
      </c>
      <c r="Q139" s="31">
        <f t="shared" si="23"/>
        <v>22.544734020618556</v>
      </c>
      <c r="R139" s="45">
        <f>Tabla14[[#This Row],[INSTALLER SIN IVA]]*1.19</f>
        <v>109341.95999999999</v>
      </c>
      <c r="S139" s="39">
        <v>78353</v>
      </c>
      <c r="T139" s="4">
        <v>91884</v>
      </c>
    </row>
    <row r="140" spans="1:20" ht="27" x14ac:dyDescent="0.25">
      <c r="A140" s="38" t="s">
        <v>143</v>
      </c>
      <c r="B140" s="37" t="s">
        <v>142</v>
      </c>
      <c r="C140" s="36">
        <f>+Tabla14[[#This Row],[PRECIO SUGERIDO INSTALADOR2]]</f>
        <v>113160.67</v>
      </c>
      <c r="D140" s="36">
        <f>+Tabla14[[#This Row],[PRECIO  INSTALADOR
( CON  IVA)]]-Tabla14[[#This Row],[Columna1]]</f>
        <v>107502.63649999999</v>
      </c>
      <c r="E140" s="36">
        <f>+Tabla14[[#This Row],[DPP ORO2]]</f>
        <v>96504.239999999991</v>
      </c>
      <c r="F140" s="36">
        <f>+Tabla14[[#This Row],[Columna4]]</f>
        <v>95539.197599999985</v>
      </c>
      <c r="G140" s="36">
        <f>+Tabla14[[#This Row],[PRECIO  INSTALADOR
( CON  IVA)]]/0.7</f>
        <v>161658.1</v>
      </c>
      <c r="H140" s="35">
        <f>+Tabla14[[#This Row],[PRECIO SUGERIDO INSTALADOR2]]*5%</f>
        <v>5658.0335000000005</v>
      </c>
      <c r="I140" s="29">
        <f t="shared" si="16"/>
        <v>23.332096907216496</v>
      </c>
      <c r="J140" s="29">
        <f t="shared" si="17"/>
        <v>19.897781443298967</v>
      </c>
      <c r="K140" s="34">
        <f t="shared" si="18"/>
        <v>19.698803628865978</v>
      </c>
      <c r="L140" s="34">
        <f t="shared" si="19"/>
        <v>19.698803628865978</v>
      </c>
      <c r="M140" s="34">
        <f t="shared" si="20"/>
        <v>95539.197599999985</v>
      </c>
      <c r="N140" s="33">
        <f t="shared" si="21"/>
        <v>965.04239999999993</v>
      </c>
      <c r="O140" s="4">
        <f t="shared" si="22"/>
        <v>19.897781443298967</v>
      </c>
      <c r="P140" s="32">
        <f>Tabla14[[#This Row],[ORO SIN IVA]]*1.19</f>
        <v>96504.239999999991</v>
      </c>
      <c r="Q140" s="31">
        <f t="shared" si="23"/>
        <v>23.332096907216496</v>
      </c>
      <c r="R140" s="45">
        <f>Tabla14[[#This Row],[INSTALLER SIN IVA]]*1.19</f>
        <v>113160.67</v>
      </c>
      <c r="S140" s="39">
        <v>81096</v>
      </c>
      <c r="T140" s="4">
        <v>95093</v>
      </c>
    </row>
    <row r="141" spans="1:20" ht="27" x14ac:dyDescent="0.25">
      <c r="A141" s="38" t="s">
        <v>141</v>
      </c>
      <c r="B141" s="37" t="s">
        <v>140</v>
      </c>
      <c r="C141" s="36">
        <f>+Tabla14[[#This Row],[PRECIO SUGERIDO INSTALADOR2]]</f>
        <v>109397.89</v>
      </c>
      <c r="D141" s="36">
        <f>+Tabla14[[#This Row],[PRECIO  INSTALADOR
( CON  IVA)]]-Tabla14[[#This Row],[Columna1]]</f>
        <v>103927.9955</v>
      </c>
      <c r="E141" s="36">
        <f>+Tabla14[[#This Row],[DPP ORO2]]</f>
        <v>93294.81</v>
      </c>
      <c r="F141" s="36">
        <f>+Tabla14[[#This Row],[Columna4]]</f>
        <v>92361.861900000004</v>
      </c>
      <c r="G141" s="36">
        <f>+Tabla14[[#This Row],[PRECIO  INSTALADOR
( CON  IVA)]]/0.7</f>
        <v>156282.70000000001</v>
      </c>
      <c r="H141" s="35">
        <f>+Tabla14[[#This Row],[PRECIO SUGERIDO INSTALADOR2]]*5%</f>
        <v>5469.8945000000003</v>
      </c>
      <c r="I141" s="29">
        <f t="shared" si="16"/>
        <v>22.556265979381443</v>
      </c>
      <c r="J141" s="29">
        <f t="shared" si="17"/>
        <v>19.236043298969072</v>
      </c>
      <c r="K141" s="34">
        <f t="shared" si="18"/>
        <v>19.043682865979381</v>
      </c>
      <c r="L141" s="34">
        <f t="shared" si="19"/>
        <v>19.043682865979381</v>
      </c>
      <c r="M141" s="34">
        <f t="shared" si="20"/>
        <v>92361.861900000004</v>
      </c>
      <c r="N141" s="33">
        <f t="shared" si="21"/>
        <v>932.94809999999995</v>
      </c>
      <c r="O141" s="4">
        <f t="shared" si="22"/>
        <v>19.236043298969072</v>
      </c>
      <c r="P141" s="32">
        <f>Tabla14[[#This Row],[ORO SIN IVA]]*1.19</f>
        <v>93294.81</v>
      </c>
      <c r="Q141" s="31">
        <f t="shared" si="23"/>
        <v>22.556265979381443</v>
      </c>
      <c r="R141" s="45">
        <f>Tabla14[[#This Row],[INSTALLER SIN IVA]]*1.19</f>
        <v>109397.89</v>
      </c>
      <c r="S141" s="39">
        <v>78399</v>
      </c>
      <c r="T141" s="4">
        <v>91931</v>
      </c>
    </row>
    <row r="142" spans="1:20" ht="15" x14ac:dyDescent="0.25">
      <c r="A142" s="38" t="s">
        <v>139</v>
      </c>
      <c r="B142" s="37" t="s">
        <v>138</v>
      </c>
      <c r="C142" s="36">
        <f>+Tabla14[[#This Row],[PRECIO SUGERIDO INSTALADOR2]]</f>
        <v>498347.00999999995</v>
      </c>
      <c r="D142" s="36">
        <f>+Tabla14[[#This Row],[PRECIO  INSTALADOR
( CON  IVA)]]-Tabla14[[#This Row],[Columna1]]</f>
        <v>473429.65949999995</v>
      </c>
      <c r="E142" s="36">
        <f>+Tabla14[[#This Row],[DPP ORO2]]</f>
        <v>424862.13</v>
      </c>
      <c r="F142" s="36">
        <f>+Tabla14[[#This Row],[Columna4]]</f>
        <v>420613.50870000001</v>
      </c>
      <c r="G142" s="36">
        <f>+Tabla14[[#This Row],[PRECIO  INSTALADOR
( CON  IVA)]]/0.7</f>
        <v>711924.29999999993</v>
      </c>
      <c r="H142" s="35">
        <f>+Tabla14[[#This Row],[PRECIO SUGERIDO INSTALADOR2]]*5%</f>
        <v>24917.3505</v>
      </c>
      <c r="I142" s="29">
        <f t="shared" si="16"/>
        <v>102.75196082474226</v>
      </c>
      <c r="J142" s="29">
        <f t="shared" si="17"/>
        <v>87.600439175257733</v>
      </c>
      <c r="K142" s="34">
        <f t="shared" si="18"/>
        <v>86.72443478350516</v>
      </c>
      <c r="L142" s="34">
        <f t="shared" si="19"/>
        <v>86.72443478350516</v>
      </c>
      <c r="M142" s="34">
        <f t="shared" si="20"/>
        <v>420613.50870000001</v>
      </c>
      <c r="N142" s="33">
        <f t="shared" si="21"/>
        <v>4248.6212999999998</v>
      </c>
      <c r="O142" s="4">
        <f t="shared" si="22"/>
        <v>87.600439175257733</v>
      </c>
      <c r="P142" s="32">
        <f>Tabla14[[#This Row],[ORO SIN IVA]]*1.19</f>
        <v>424862.13</v>
      </c>
      <c r="Q142" s="31">
        <f t="shared" si="23"/>
        <v>102.75196082474226</v>
      </c>
      <c r="R142" s="45">
        <f>Tabla14[[#This Row],[INSTALLER SIN IVA]]*1.19</f>
        <v>498347.00999999995</v>
      </c>
      <c r="S142" s="39">
        <v>357027</v>
      </c>
      <c r="T142" s="4">
        <v>418779</v>
      </c>
    </row>
    <row r="143" spans="1:20" ht="15" x14ac:dyDescent="0.25">
      <c r="A143" s="38" t="s">
        <v>137</v>
      </c>
      <c r="B143" s="37" t="s">
        <v>136</v>
      </c>
      <c r="C143" s="36">
        <f>+Tabla14[[#This Row],[PRECIO SUGERIDO INSTALADOR2]]</f>
        <v>453857.67</v>
      </c>
      <c r="D143" s="36">
        <f>+Tabla14[[#This Row],[PRECIO  INSTALADOR
( CON  IVA)]]-Tabla14[[#This Row],[Columna1]]</f>
        <v>431164.78649999999</v>
      </c>
      <c r="E143" s="36">
        <f>+Tabla14[[#This Row],[DPP ORO2]]</f>
        <v>386902.32</v>
      </c>
      <c r="F143" s="36">
        <f>+Tabla14[[#This Row],[Columna4]]</f>
        <v>383033.29680000001</v>
      </c>
      <c r="G143" s="36">
        <f>+Tabla14[[#This Row],[PRECIO  INSTALADOR
( CON  IVA)]]/0.7</f>
        <v>648368.1</v>
      </c>
      <c r="H143" s="35">
        <f>+Tabla14[[#This Row],[PRECIO SUGERIDO INSTALADOR2]]*5%</f>
        <v>22692.8835</v>
      </c>
      <c r="I143" s="29">
        <f t="shared" si="16"/>
        <v>93.578901030927838</v>
      </c>
      <c r="J143" s="29">
        <f t="shared" si="17"/>
        <v>79.773674226804118</v>
      </c>
      <c r="K143" s="34">
        <f t="shared" si="18"/>
        <v>78.97593748453609</v>
      </c>
      <c r="L143" s="34">
        <f t="shared" si="19"/>
        <v>78.97593748453609</v>
      </c>
      <c r="M143" s="34">
        <f t="shared" si="20"/>
        <v>383033.29680000001</v>
      </c>
      <c r="N143" s="33">
        <f t="shared" si="21"/>
        <v>3869.0232000000001</v>
      </c>
      <c r="O143" s="4">
        <f t="shared" si="22"/>
        <v>79.773674226804118</v>
      </c>
      <c r="P143" s="32">
        <f>Tabla14[[#This Row],[ORO SIN IVA]]*1.19</f>
        <v>386902.32</v>
      </c>
      <c r="Q143" s="31">
        <f t="shared" si="23"/>
        <v>93.578901030927838</v>
      </c>
      <c r="R143" s="45">
        <f>Tabla14[[#This Row],[INSTALLER SIN IVA]]*1.19</f>
        <v>453857.67</v>
      </c>
      <c r="S143" s="39">
        <v>325128</v>
      </c>
      <c r="T143" s="4">
        <v>381393</v>
      </c>
    </row>
    <row r="144" spans="1:20" ht="27" x14ac:dyDescent="0.25">
      <c r="A144" s="38" t="s">
        <v>135</v>
      </c>
      <c r="B144" s="37" t="s">
        <v>134</v>
      </c>
      <c r="C144" s="36">
        <f>+Tabla14[[#This Row],[PRECIO SUGERIDO INSTALADOR2]]</f>
        <v>169381.03</v>
      </c>
      <c r="D144" s="36">
        <f>+Tabla14[[#This Row],[PRECIO  INSTALADOR
( CON  IVA)]]-Tabla14[[#This Row],[Columna1]]</f>
        <v>160911.9785</v>
      </c>
      <c r="E144" s="36">
        <f>+Tabla14[[#This Row],[DPP ORO2]]</f>
        <v>144369.60999999999</v>
      </c>
      <c r="F144" s="36">
        <f>+Tabla14[[#This Row],[Columna4]]</f>
        <v>142925.91389999999</v>
      </c>
      <c r="G144" s="36">
        <f>+Tabla14[[#This Row],[PRECIO  INSTALADOR
( CON  IVA)]]/0.7</f>
        <v>241972.90000000002</v>
      </c>
      <c r="H144" s="35">
        <f>+Tabla14[[#This Row],[PRECIO SUGERIDO INSTALADOR2]]*5%</f>
        <v>8469.0514999999996</v>
      </c>
      <c r="I144" s="29">
        <f t="shared" si="16"/>
        <v>34.923923711340208</v>
      </c>
      <c r="J144" s="29">
        <f t="shared" si="17"/>
        <v>29.766929896907214</v>
      </c>
      <c r="K144" s="34">
        <f t="shared" si="18"/>
        <v>29.469260597938142</v>
      </c>
      <c r="L144" s="34">
        <f t="shared" si="19"/>
        <v>29.469260597938142</v>
      </c>
      <c r="M144" s="34">
        <f t="shared" si="20"/>
        <v>142925.91389999999</v>
      </c>
      <c r="N144" s="33">
        <f t="shared" si="21"/>
        <v>1443.6960999999999</v>
      </c>
      <c r="O144" s="4">
        <f t="shared" si="22"/>
        <v>29.766929896907214</v>
      </c>
      <c r="P144" s="32">
        <f>Tabla14[[#This Row],[ORO SIN IVA]]*1.19</f>
        <v>144369.60999999999</v>
      </c>
      <c r="Q144" s="31">
        <f t="shared" si="23"/>
        <v>34.923923711340208</v>
      </c>
      <c r="R144" s="45">
        <f>Tabla14[[#This Row],[INSTALLER SIN IVA]]*1.19</f>
        <v>169381.03</v>
      </c>
      <c r="S144" s="39">
        <v>121319</v>
      </c>
      <c r="T144" s="4">
        <v>142337</v>
      </c>
    </row>
    <row r="145" spans="1:20" ht="27" x14ac:dyDescent="0.25">
      <c r="A145" s="47" t="s">
        <v>133</v>
      </c>
      <c r="B145" s="48" t="s">
        <v>131</v>
      </c>
      <c r="C145" s="36">
        <f>+Tabla14[[#This Row],[PRECIO SUGERIDO INSTALADOR2]]</f>
        <v>269316.03999999998</v>
      </c>
      <c r="D145" s="36">
        <f>+Tabla14[[#This Row],[PRECIO  INSTALADOR
( CON  IVA)]]-Tabla14[[#This Row],[Columna1]]</f>
        <v>255850.23799999998</v>
      </c>
      <c r="E145" s="36">
        <f>+Tabla14[[#This Row],[DPP ORO2]]</f>
        <v>229585.50999999998</v>
      </c>
      <c r="F145" s="36">
        <f>+Tabla14[[#This Row],[Columna4]]</f>
        <v>227289.65489999999</v>
      </c>
      <c r="G145" s="36">
        <f>+Tabla14[[#This Row],[PRECIO  INSTALADOR
( CON  IVA)]]/0.7</f>
        <v>384737.2</v>
      </c>
      <c r="H145" s="35">
        <f>+Tabla14[[#This Row],[PRECIO SUGERIDO INSTALADOR2]]*5%</f>
        <v>13465.802</v>
      </c>
      <c r="I145" s="29">
        <f t="shared" si="16"/>
        <v>55.52908041237113</v>
      </c>
      <c r="J145" s="29">
        <f t="shared" si="17"/>
        <v>47.337218556701025</v>
      </c>
      <c r="K145" s="34">
        <f t="shared" si="18"/>
        <v>46.863846371134017</v>
      </c>
      <c r="L145" s="34">
        <f t="shared" si="19"/>
        <v>46.863846371134017</v>
      </c>
      <c r="M145" s="34">
        <f t="shared" si="20"/>
        <v>227289.65489999999</v>
      </c>
      <c r="N145" s="33">
        <f t="shared" si="21"/>
        <v>2295.8550999999998</v>
      </c>
      <c r="O145" s="4">
        <f t="shared" si="22"/>
        <v>47.337218556701025</v>
      </c>
      <c r="P145" s="32">
        <f>Tabla14[[#This Row],[ORO SIN IVA]]*1.19</f>
        <v>229585.50999999998</v>
      </c>
      <c r="Q145" s="31">
        <f t="shared" si="23"/>
        <v>55.52908041237113</v>
      </c>
      <c r="R145" s="45">
        <f>Tabla14[[#This Row],[INSTALLER SIN IVA]]*1.19</f>
        <v>269316.03999999998</v>
      </c>
      <c r="S145" s="39">
        <v>192929</v>
      </c>
      <c r="T145" s="4">
        <v>226316</v>
      </c>
    </row>
    <row r="146" spans="1:20" ht="27" x14ac:dyDescent="0.25">
      <c r="A146" s="47" t="s">
        <v>132</v>
      </c>
      <c r="B146" s="48" t="s">
        <v>131</v>
      </c>
      <c r="C146" s="36">
        <f>+Tabla14[[#This Row],[PRECIO SUGERIDO INSTALADOR2]]</f>
        <v>269316.03999999998</v>
      </c>
      <c r="D146" s="36">
        <f>+Tabla14[[#This Row],[PRECIO  INSTALADOR
( CON  IVA)]]-Tabla14[[#This Row],[Columna1]]</f>
        <v>255850.23799999998</v>
      </c>
      <c r="E146" s="36">
        <f>+Tabla14[[#This Row],[DPP ORO2]]</f>
        <v>229585.50999999998</v>
      </c>
      <c r="F146" s="36">
        <f>+Tabla14[[#This Row],[Columna4]]</f>
        <v>227289.65489999999</v>
      </c>
      <c r="G146" s="36">
        <f>+Tabla14[[#This Row],[PRECIO  INSTALADOR
( CON  IVA)]]/0.7</f>
        <v>384737.2</v>
      </c>
      <c r="H146" s="35">
        <f>+Tabla14[[#This Row],[PRECIO SUGERIDO INSTALADOR2]]*5%</f>
        <v>13465.802</v>
      </c>
      <c r="I146" s="29">
        <f t="shared" si="16"/>
        <v>55.52908041237113</v>
      </c>
      <c r="J146" s="29">
        <f t="shared" si="17"/>
        <v>47.337218556701025</v>
      </c>
      <c r="K146" s="34">
        <f t="shared" si="18"/>
        <v>46.863846371134017</v>
      </c>
      <c r="L146" s="34">
        <f t="shared" si="19"/>
        <v>46.863846371134017</v>
      </c>
      <c r="M146" s="34">
        <f t="shared" si="20"/>
        <v>227289.65489999999</v>
      </c>
      <c r="N146" s="33">
        <f t="shared" si="21"/>
        <v>2295.8550999999998</v>
      </c>
      <c r="O146" s="4">
        <f t="shared" si="22"/>
        <v>47.337218556701025</v>
      </c>
      <c r="P146" s="32">
        <f>Tabla14[[#This Row],[ORO SIN IVA]]*1.19</f>
        <v>229585.50999999998</v>
      </c>
      <c r="Q146" s="31">
        <f t="shared" si="23"/>
        <v>55.52908041237113</v>
      </c>
      <c r="R146" s="45">
        <f>Tabla14[[#This Row],[INSTALLER SIN IVA]]*1.19</f>
        <v>269316.03999999998</v>
      </c>
      <c r="S146" s="39">
        <v>192929</v>
      </c>
      <c r="T146" s="4">
        <v>226316</v>
      </c>
    </row>
    <row r="147" spans="1:20" ht="40.5" x14ac:dyDescent="0.25">
      <c r="A147" s="38" t="s">
        <v>130</v>
      </c>
      <c r="B147" s="37" t="s">
        <v>129</v>
      </c>
      <c r="C147" s="36">
        <f>+Tabla14[[#This Row],[PRECIO SUGERIDO INSTALADOR2]]</f>
        <v>449098.86</v>
      </c>
      <c r="D147" s="36">
        <f>+Tabla14[[#This Row],[PRECIO  INSTALADOR
( CON  IVA)]]-Tabla14[[#This Row],[Columna1]]</f>
        <v>426643.91700000002</v>
      </c>
      <c r="E147" s="36">
        <f>+Tabla14[[#This Row],[DPP ORO2]]</f>
        <v>382863.45999999996</v>
      </c>
      <c r="F147" s="36">
        <f>+Tabla14[[#This Row],[Columna4]]</f>
        <v>379034.82539999997</v>
      </c>
      <c r="G147" s="36">
        <f>+Tabla14[[#This Row],[PRECIO  INSTALADOR
( CON  IVA)]]/0.7</f>
        <v>641569.80000000005</v>
      </c>
      <c r="H147" s="35">
        <f>+Tabla14[[#This Row],[PRECIO SUGERIDO INSTALADOR2]]*5%</f>
        <v>22454.942999999999</v>
      </c>
      <c r="I147" s="29">
        <f t="shared" si="16"/>
        <v>92.597703092783505</v>
      </c>
      <c r="J147" s="29">
        <f t="shared" si="17"/>
        <v>78.940919587628855</v>
      </c>
      <c r="K147" s="34">
        <f t="shared" si="18"/>
        <v>78.151510391752566</v>
      </c>
      <c r="L147" s="34">
        <f t="shared" si="19"/>
        <v>78.151510391752566</v>
      </c>
      <c r="M147" s="34">
        <f t="shared" si="20"/>
        <v>379034.82539999997</v>
      </c>
      <c r="N147" s="33">
        <f t="shared" si="21"/>
        <v>3828.6345999999999</v>
      </c>
      <c r="O147" s="4">
        <f t="shared" si="22"/>
        <v>78.940919587628855</v>
      </c>
      <c r="P147" s="32">
        <f>Tabla14[[#This Row],[ORO SIN IVA]]*1.19</f>
        <v>382863.45999999996</v>
      </c>
      <c r="Q147" s="31">
        <f t="shared" si="23"/>
        <v>92.597703092783505</v>
      </c>
      <c r="R147" s="45">
        <f>Tabla14[[#This Row],[INSTALLER SIN IVA]]*1.19</f>
        <v>449098.86</v>
      </c>
      <c r="S147" s="39">
        <v>321734</v>
      </c>
      <c r="T147" s="4">
        <v>377394</v>
      </c>
    </row>
    <row r="148" spans="1:20" ht="54" x14ac:dyDescent="0.25">
      <c r="A148" s="38" t="s">
        <v>128</v>
      </c>
      <c r="B148" s="37" t="s">
        <v>127</v>
      </c>
      <c r="C148" s="36">
        <f>+Tabla14[[#This Row],[PRECIO SUGERIDO INSTALADOR2]]</f>
        <v>530829.25</v>
      </c>
      <c r="D148" s="36">
        <f>+Tabla14[[#This Row],[PRECIO  INSTALADOR
( CON  IVA)]]-Tabla14[[#This Row],[Columna1]]</f>
        <v>504287.78749999998</v>
      </c>
      <c r="E148" s="36">
        <f>+Tabla14[[#This Row],[DPP ORO2]]</f>
        <v>452529.63</v>
      </c>
      <c r="F148" s="36">
        <f>+Tabla14[[#This Row],[Columna4]]</f>
        <v>448004.33370000002</v>
      </c>
      <c r="G148" s="36">
        <f>+Tabla14[[#This Row],[PRECIO  INSTALADOR
( CON  IVA)]]/0.7</f>
        <v>758327.5</v>
      </c>
      <c r="H148" s="35">
        <f>+Tabla14[[#This Row],[PRECIO SUGERIDO INSTALADOR2]]*5%</f>
        <v>26541.462500000001</v>
      </c>
      <c r="I148" s="29">
        <f t="shared" si="16"/>
        <v>109.44932989690722</v>
      </c>
      <c r="J148" s="29">
        <f t="shared" si="17"/>
        <v>93.305078350515458</v>
      </c>
      <c r="K148" s="34">
        <f t="shared" si="18"/>
        <v>92.372027567010306</v>
      </c>
      <c r="L148" s="34">
        <f t="shared" si="19"/>
        <v>92.372027567010306</v>
      </c>
      <c r="M148" s="34">
        <f t="shared" si="20"/>
        <v>448004.33370000002</v>
      </c>
      <c r="N148" s="33">
        <f t="shared" si="21"/>
        <v>4525.2963</v>
      </c>
      <c r="O148" s="4">
        <f t="shared" si="22"/>
        <v>93.305078350515458</v>
      </c>
      <c r="P148" s="32">
        <f>Tabla14[[#This Row],[ORO SIN IVA]]*1.19</f>
        <v>452529.63</v>
      </c>
      <c r="Q148" s="31">
        <f t="shared" si="23"/>
        <v>109.44932989690722</v>
      </c>
      <c r="R148" s="45">
        <f>Tabla14[[#This Row],[INSTALLER SIN IVA]]*1.19</f>
        <v>530829.25</v>
      </c>
      <c r="S148" s="39">
        <v>380277</v>
      </c>
      <c r="T148" s="4">
        <v>446075</v>
      </c>
    </row>
    <row r="149" spans="1:20" ht="27" x14ac:dyDescent="0.25">
      <c r="A149" s="38" t="s">
        <v>126</v>
      </c>
      <c r="B149" s="37" t="s">
        <v>125</v>
      </c>
      <c r="C149" s="36">
        <f>+Tabla14[[#This Row],[PRECIO SUGERIDO INSTALADOR2]]</f>
        <v>507809.88999999996</v>
      </c>
      <c r="D149" s="36">
        <f>+Tabla14[[#This Row],[PRECIO  INSTALADOR
( CON  IVA)]]-Tabla14[[#This Row],[Columna1]]</f>
        <v>482419.39549999998</v>
      </c>
      <c r="E149" s="36">
        <f>+Tabla14[[#This Row],[DPP ORO2]]</f>
        <v>432886.3</v>
      </c>
      <c r="F149" s="36">
        <f>+Tabla14[[#This Row],[Columna4]]</f>
        <v>428557.43699999998</v>
      </c>
      <c r="G149" s="36">
        <f>+Tabla14[[#This Row],[PRECIO  INSTALADOR
( CON  IVA)]]/0.7</f>
        <v>725442.7</v>
      </c>
      <c r="H149" s="35">
        <f>+Tabla14[[#This Row],[PRECIO SUGERIDO INSTALADOR2]]*5%</f>
        <v>25390.494500000001</v>
      </c>
      <c r="I149" s="29">
        <f t="shared" si="16"/>
        <v>104.70307010309277</v>
      </c>
      <c r="J149" s="29">
        <f t="shared" si="17"/>
        <v>89.254907216494843</v>
      </c>
      <c r="K149" s="34">
        <f t="shared" si="18"/>
        <v>88.362358144329889</v>
      </c>
      <c r="L149" s="34">
        <f t="shared" si="19"/>
        <v>88.362358144329889</v>
      </c>
      <c r="M149" s="34">
        <f t="shared" si="20"/>
        <v>428557.43699999998</v>
      </c>
      <c r="N149" s="33">
        <f t="shared" si="21"/>
        <v>4328.8630000000003</v>
      </c>
      <c r="O149" s="4">
        <f t="shared" si="22"/>
        <v>89.254907216494843</v>
      </c>
      <c r="P149" s="32">
        <f>Tabla14[[#This Row],[ORO SIN IVA]]*1.19</f>
        <v>432886.3</v>
      </c>
      <c r="Q149" s="31">
        <f t="shared" si="23"/>
        <v>104.70307010309277</v>
      </c>
      <c r="R149" s="45">
        <f>Tabla14[[#This Row],[INSTALLER SIN IVA]]*1.19</f>
        <v>507809.88999999996</v>
      </c>
      <c r="S149" s="39">
        <v>363770</v>
      </c>
      <c r="T149" s="4">
        <v>426731</v>
      </c>
    </row>
    <row r="150" spans="1:20" ht="27" x14ac:dyDescent="0.25">
      <c r="A150" s="38" t="s">
        <v>124</v>
      </c>
      <c r="B150" s="37" t="s">
        <v>123</v>
      </c>
      <c r="C150" s="36">
        <f>+Tabla14[[#This Row],[PRECIO SUGERIDO INSTALADOR2]]</f>
        <v>318397.58999999997</v>
      </c>
      <c r="D150" s="36">
        <f>+Tabla14[[#This Row],[PRECIO  INSTALADOR
( CON  IVA)]]-Tabla14[[#This Row],[Columna1]]</f>
        <v>302477.71049999999</v>
      </c>
      <c r="E150" s="36">
        <f>+Tabla14[[#This Row],[DPP ORO2]]</f>
        <v>271418.76999999996</v>
      </c>
      <c r="F150" s="36">
        <f>+Tabla14[[#This Row],[Columna4]]</f>
        <v>268704.58229999995</v>
      </c>
      <c r="G150" s="36">
        <f>+Tabla14[[#This Row],[PRECIO  INSTALADOR
( CON  IVA)]]/0.7</f>
        <v>454853.69999999995</v>
      </c>
      <c r="H150" s="35">
        <f>+Tabla14[[#This Row],[PRECIO SUGERIDO INSTALADOR2]]*5%</f>
        <v>15919.879499999999</v>
      </c>
      <c r="I150" s="29">
        <f t="shared" si="16"/>
        <v>65.648987628865967</v>
      </c>
      <c r="J150" s="29">
        <f t="shared" si="17"/>
        <v>55.962632989690711</v>
      </c>
      <c r="K150" s="34">
        <f t="shared" si="18"/>
        <v>55.403006659793803</v>
      </c>
      <c r="L150" s="34">
        <f t="shared" si="19"/>
        <v>55.403006659793803</v>
      </c>
      <c r="M150" s="34">
        <f t="shared" si="20"/>
        <v>268704.58229999995</v>
      </c>
      <c r="N150" s="33">
        <f t="shared" si="21"/>
        <v>2714.1876999999995</v>
      </c>
      <c r="O150" s="4">
        <f t="shared" si="22"/>
        <v>55.962632989690711</v>
      </c>
      <c r="P150" s="32">
        <f>Tabla14[[#This Row],[ORO SIN IVA]]*1.19</f>
        <v>271418.76999999996</v>
      </c>
      <c r="Q150" s="31">
        <f t="shared" si="23"/>
        <v>65.648987628865967</v>
      </c>
      <c r="R150" s="45">
        <f>Tabla14[[#This Row],[INSTALLER SIN IVA]]*1.19</f>
        <v>318397.58999999997</v>
      </c>
      <c r="S150" s="39">
        <v>228083</v>
      </c>
      <c r="T150" s="4">
        <v>267561</v>
      </c>
    </row>
    <row r="151" spans="1:20" ht="27" x14ac:dyDescent="0.25">
      <c r="A151" s="38" t="s">
        <v>122</v>
      </c>
      <c r="B151" s="37" t="s">
        <v>121</v>
      </c>
      <c r="C151" s="36">
        <f>+Tabla14[[#This Row],[PRECIO SUGERIDO INSTALADOR2]]</f>
        <v>476987.69999999995</v>
      </c>
      <c r="D151" s="36">
        <f>+Tabla14[[#This Row],[PRECIO  INSTALADOR
( CON  IVA)]]-Tabla14[[#This Row],[Columna1]]</f>
        <v>453138.31499999994</v>
      </c>
      <c r="E151" s="36">
        <f>+Tabla14[[#This Row],[DPP ORO2]]</f>
        <v>406601.57999999996</v>
      </c>
      <c r="F151" s="36">
        <f>+Tabla14[[#This Row],[Columna4]]</f>
        <v>402535.56419999996</v>
      </c>
      <c r="G151" s="36">
        <f>+Tabla14[[#This Row],[PRECIO  INSTALADOR
( CON  IVA)]]/0.7</f>
        <v>681411</v>
      </c>
      <c r="H151" s="35">
        <f>+Tabla14[[#This Row],[PRECIO SUGERIDO INSTALADOR2]]*5%</f>
        <v>23849.384999999998</v>
      </c>
      <c r="I151" s="29">
        <f t="shared" si="16"/>
        <v>98.347979381443295</v>
      </c>
      <c r="J151" s="29">
        <f t="shared" si="17"/>
        <v>83.835377319587622</v>
      </c>
      <c r="K151" s="34">
        <f t="shared" si="18"/>
        <v>82.997023546391745</v>
      </c>
      <c r="L151" s="34">
        <f t="shared" si="19"/>
        <v>82.997023546391745</v>
      </c>
      <c r="M151" s="34">
        <f t="shared" si="20"/>
        <v>402535.56419999996</v>
      </c>
      <c r="N151" s="33">
        <f t="shared" si="21"/>
        <v>4066.0157999999997</v>
      </c>
      <c r="O151" s="4">
        <f t="shared" si="22"/>
        <v>83.835377319587622</v>
      </c>
      <c r="P151" s="32">
        <f>Tabla14[[#This Row],[ORO SIN IVA]]*1.19</f>
        <v>406601.57999999996</v>
      </c>
      <c r="Q151" s="31">
        <f t="shared" si="23"/>
        <v>98.347979381443295</v>
      </c>
      <c r="R151" s="45">
        <f>Tabla14[[#This Row],[INSTALLER SIN IVA]]*1.19</f>
        <v>476987.69999999995</v>
      </c>
      <c r="S151" s="39">
        <v>341682</v>
      </c>
      <c r="T151" s="4">
        <v>400830</v>
      </c>
    </row>
    <row r="152" spans="1:20" ht="54" x14ac:dyDescent="0.25">
      <c r="A152" s="38" t="s">
        <v>120</v>
      </c>
      <c r="B152" s="37" t="s">
        <v>119</v>
      </c>
      <c r="C152" s="36">
        <f>+Tabla14[[#This Row],[PRECIO SUGERIDO INSTALADOR2]]</f>
        <v>453857.67</v>
      </c>
      <c r="D152" s="36">
        <f>+Tabla14[[#This Row],[PRECIO  INSTALADOR
( CON  IVA)]]-Tabla14[[#This Row],[Columna1]]</f>
        <v>431164.78649999999</v>
      </c>
      <c r="E152" s="36">
        <f>+Tabla14[[#This Row],[DPP ORO2]]</f>
        <v>386902.32</v>
      </c>
      <c r="F152" s="36">
        <f>+Tabla14[[#This Row],[Columna4]]</f>
        <v>383033.29680000001</v>
      </c>
      <c r="G152" s="36">
        <f>+Tabla14[[#This Row],[PRECIO  INSTALADOR
( CON  IVA)]]/0.7</f>
        <v>648368.1</v>
      </c>
      <c r="H152" s="35">
        <f>+Tabla14[[#This Row],[PRECIO SUGERIDO INSTALADOR2]]*5%</f>
        <v>22692.8835</v>
      </c>
      <c r="I152" s="29">
        <f t="shared" si="16"/>
        <v>93.578901030927838</v>
      </c>
      <c r="J152" s="29">
        <f t="shared" si="17"/>
        <v>79.773674226804118</v>
      </c>
      <c r="K152" s="34">
        <f t="shared" si="18"/>
        <v>78.97593748453609</v>
      </c>
      <c r="L152" s="34">
        <f t="shared" si="19"/>
        <v>78.97593748453609</v>
      </c>
      <c r="M152" s="34">
        <f t="shared" si="20"/>
        <v>383033.29680000001</v>
      </c>
      <c r="N152" s="33">
        <f t="shared" si="21"/>
        <v>3869.0232000000001</v>
      </c>
      <c r="O152" s="4">
        <f t="shared" si="22"/>
        <v>79.773674226804118</v>
      </c>
      <c r="P152" s="32">
        <f>Tabla14[[#This Row],[ORO SIN IVA]]*1.19</f>
        <v>386902.32</v>
      </c>
      <c r="Q152" s="31">
        <f t="shared" si="23"/>
        <v>93.578901030927838</v>
      </c>
      <c r="R152" s="45">
        <f>Tabla14[[#This Row],[INSTALLER SIN IVA]]*1.19</f>
        <v>453857.67</v>
      </c>
      <c r="S152" s="39">
        <v>325128</v>
      </c>
      <c r="T152" s="4">
        <v>381393</v>
      </c>
    </row>
    <row r="153" spans="1:20" ht="27" x14ac:dyDescent="0.25">
      <c r="A153" s="47" t="s">
        <v>118</v>
      </c>
      <c r="B153" s="48" t="s">
        <v>117</v>
      </c>
      <c r="C153" s="36">
        <f>+Tabla14[[#This Row],[PRECIO SUGERIDO INSTALADOR2]]</f>
        <v>83390.44</v>
      </c>
      <c r="D153" s="36">
        <f>+Tabla14[[#This Row],[PRECIO  INSTALADOR
( CON  IVA)]]-Tabla14[[#This Row],[Columna1]]</f>
        <v>79220.918000000005</v>
      </c>
      <c r="E153" s="36">
        <f>+Tabla14[[#This Row],[DPP ORO2]]</f>
        <v>71106.069999999992</v>
      </c>
      <c r="F153" s="36">
        <f>+Tabla14[[#This Row],[Columna4]]</f>
        <v>70395.009299999991</v>
      </c>
      <c r="G153" s="36">
        <f>+Tabla14[[#This Row],[PRECIO  INSTALADOR
( CON  IVA)]]/0.7</f>
        <v>119129.20000000001</v>
      </c>
      <c r="H153" s="35">
        <f>+Tabla14[[#This Row],[PRECIO SUGERIDO INSTALADOR2]]*5%</f>
        <v>4169.5219999999999</v>
      </c>
      <c r="I153" s="29">
        <f t="shared" si="16"/>
        <v>17.193905154639175</v>
      </c>
      <c r="J153" s="29">
        <f t="shared" si="17"/>
        <v>14.66104536082474</v>
      </c>
      <c r="K153" s="34">
        <f t="shared" si="18"/>
        <v>14.514434907216494</v>
      </c>
      <c r="L153" s="34">
        <f t="shared" si="19"/>
        <v>14.514434907216494</v>
      </c>
      <c r="M153" s="34">
        <f t="shared" si="20"/>
        <v>70395.009299999991</v>
      </c>
      <c r="N153" s="33">
        <f t="shared" si="21"/>
        <v>711.06069999999988</v>
      </c>
      <c r="O153" s="4">
        <f t="shared" si="22"/>
        <v>14.66104536082474</v>
      </c>
      <c r="P153" s="32">
        <f>Tabla14[[#This Row],[ORO SIN IVA]]*1.19</f>
        <v>71106.069999999992</v>
      </c>
      <c r="Q153" s="31">
        <f t="shared" si="23"/>
        <v>17.193905154639175</v>
      </c>
      <c r="R153" s="45">
        <f>Tabla14[[#This Row],[INSTALLER SIN IVA]]*1.19</f>
        <v>83390.44</v>
      </c>
      <c r="S153" s="39">
        <v>59753</v>
      </c>
      <c r="T153" s="4">
        <v>70076</v>
      </c>
    </row>
    <row r="154" spans="1:20" ht="40.5" x14ac:dyDescent="0.25">
      <c r="A154" s="47" t="s">
        <v>116</v>
      </c>
      <c r="B154" s="48" t="s">
        <v>115</v>
      </c>
      <c r="C154" s="36">
        <f>+Tabla14[[#This Row],[PRECIO SUGERIDO INSTALADOR2]]</f>
        <v>93461.409999999989</v>
      </c>
      <c r="D154" s="36">
        <f>+Tabla14[[#This Row],[PRECIO  INSTALADOR
( CON  IVA)]]-Tabla14[[#This Row],[Columna1]]</f>
        <v>88788.339499999987</v>
      </c>
      <c r="E154" s="36">
        <f>+Tabla14[[#This Row],[DPP ORO2]]</f>
        <v>79627.66</v>
      </c>
      <c r="F154" s="36">
        <f>+Tabla14[[#This Row],[Columna4]]</f>
        <v>78831.383400000006</v>
      </c>
      <c r="G154" s="36">
        <f>+Tabla14[[#This Row],[PRECIO  INSTALADOR
( CON  IVA)]]/0.7</f>
        <v>133516.29999999999</v>
      </c>
      <c r="H154" s="35">
        <f>+Tabla14[[#This Row],[PRECIO SUGERIDO INSTALADOR2]]*5%</f>
        <v>4673.0704999999998</v>
      </c>
      <c r="I154" s="29">
        <f t="shared" si="16"/>
        <v>19.270393814432989</v>
      </c>
      <c r="J154" s="29">
        <f t="shared" si="17"/>
        <v>16.418074226804123</v>
      </c>
      <c r="K154" s="34">
        <f t="shared" si="18"/>
        <v>16.253893484536082</v>
      </c>
      <c r="L154" s="34">
        <f t="shared" si="19"/>
        <v>16.253893484536082</v>
      </c>
      <c r="M154" s="34">
        <f t="shared" si="20"/>
        <v>78831.383400000006</v>
      </c>
      <c r="N154" s="33">
        <f t="shared" si="21"/>
        <v>796.27660000000003</v>
      </c>
      <c r="O154" s="4">
        <f t="shared" si="22"/>
        <v>16.418074226804123</v>
      </c>
      <c r="P154" s="32">
        <f>Tabla14[[#This Row],[ORO SIN IVA]]*1.19</f>
        <v>79627.66</v>
      </c>
      <c r="Q154" s="31">
        <f t="shared" si="23"/>
        <v>19.270393814432989</v>
      </c>
      <c r="R154" s="45">
        <f>Tabla14[[#This Row],[INSTALLER SIN IVA]]*1.19</f>
        <v>93461.409999999989</v>
      </c>
      <c r="S154" s="39">
        <v>66914</v>
      </c>
      <c r="T154" s="4">
        <v>78539</v>
      </c>
    </row>
    <row r="155" spans="1:20" ht="40.5" x14ac:dyDescent="0.25">
      <c r="A155" s="38" t="s">
        <v>114</v>
      </c>
      <c r="B155" s="37" t="s">
        <v>113</v>
      </c>
      <c r="C155" s="36">
        <f>+Tabla14[[#This Row],[PRECIO SUGERIDO INSTALADOR2]]</f>
        <v>185870.86</v>
      </c>
      <c r="D155" s="36">
        <f>+Tabla14[[#This Row],[PRECIO  INSTALADOR
( CON  IVA)]]-Tabla14[[#This Row],[Columna1]]</f>
        <v>176577.31699999998</v>
      </c>
      <c r="E155" s="36">
        <f>+Tabla14[[#This Row],[DPP ORO2]]</f>
        <v>158424.69999999998</v>
      </c>
      <c r="F155" s="36">
        <f>+Tabla14[[#This Row],[Columna4]]</f>
        <v>156840.45299999998</v>
      </c>
      <c r="G155" s="36">
        <f>+Tabla14[[#This Row],[PRECIO  INSTALADOR
( CON  IVA)]]/0.7</f>
        <v>265529.8</v>
      </c>
      <c r="H155" s="35">
        <f>+Tabla14[[#This Row],[PRECIO SUGERIDO INSTALADOR2]]*5%</f>
        <v>9293.5429999999997</v>
      </c>
      <c r="I155" s="29">
        <f t="shared" si="16"/>
        <v>38.323888659793809</v>
      </c>
      <c r="J155" s="29">
        <f t="shared" si="17"/>
        <v>32.664886597938143</v>
      </c>
      <c r="K155" s="34">
        <f t="shared" si="18"/>
        <v>32.338237731958756</v>
      </c>
      <c r="L155" s="34">
        <f t="shared" si="19"/>
        <v>32.338237731958756</v>
      </c>
      <c r="M155" s="34">
        <f t="shared" si="20"/>
        <v>156840.45299999998</v>
      </c>
      <c r="N155" s="33">
        <f t="shared" si="21"/>
        <v>1584.2469999999998</v>
      </c>
      <c r="O155" s="4">
        <f t="shared" si="22"/>
        <v>32.664886597938143</v>
      </c>
      <c r="P155" s="32">
        <f>Tabla14[[#This Row],[ORO SIN IVA]]*1.19</f>
        <v>158424.69999999998</v>
      </c>
      <c r="Q155" s="31">
        <f t="shared" si="23"/>
        <v>38.323888659793809</v>
      </c>
      <c r="R155" s="45">
        <f>Tabla14[[#This Row],[INSTALLER SIN IVA]]*1.19</f>
        <v>185870.86</v>
      </c>
      <c r="S155" s="39">
        <v>133130</v>
      </c>
      <c r="T155" s="4">
        <v>156194</v>
      </c>
    </row>
    <row r="156" spans="1:20" ht="54" x14ac:dyDescent="0.25">
      <c r="A156" s="38" t="s">
        <v>112</v>
      </c>
      <c r="B156" s="37" t="s">
        <v>111</v>
      </c>
      <c r="C156" s="36">
        <f>+Tabla14[[#This Row],[PRECIO SUGERIDO INSTALADOR2]]</f>
        <v>170321.13</v>
      </c>
      <c r="D156" s="36">
        <f>+Tabla14[[#This Row],[PRECIO  INSTALADOR
( CON  IVA)]]-Tabla14[[#This Row],[Columna1]]</f>
        <v>161805.0735</v>
      </c>
      <c r="E156" s="36">
        <f>+Tabla14[[#This Row],[DPP ORO2]]</f>
        <v>145199.03999999998</v>
      </c>
      <c r="F156" s="36">
        <f>+Tabla14[[#This Row],[Columna4]]</f>
        <v>143747.04959999997</v>
      </c>
      <c r="G156" s="36">
        <f>+Tabla14[[#This Row],[PRECIO  INSTALADOR
( CON  IVA)]]/0.7</f>
        <v>243315.90000000002</v>
      </c>
      <c r="H156" s="35">
        <f>+Tabla14[[#This Row],[PRECIO SUGERIDO INSTALADOR2]]*5%</f>
        <v>8516.0565000000006</v>
      </c>
      <c r="I156" s="29">
        <f t="shared" si="16"/>
        <v>35.117758762886602</v>
      </c>
      <c r="J156" s="29">
        <f t="shared" si="17"/>
        <v>29.937946391752572</v>
      </c>
      <c r="K156" s="34">
        <f t="shared" si="18"/>
        <v>29.638566927835047</v>
      </c>
      <c r="L156" s="34">
        <f t="shared" si="19"/>
        <v>29.638566927835047</v>
      </c>
      <c r="M156" s="34">
        <f t="shared" si="20"/>
        <v>143747.04959999997</v>
      </c>
      <c r="N156" s="33">
        <f t="shared" si="21"/>
        <v>1451.9903999999999</v>
      </c>
      <c r="O156" s="4">
        <f t="shared" si="22"/>
        <v>29.937946391752572</v>
      </c>
      <c r="P156" s="32">
        <f>Tabla14[[#This Row],[ORO SIN IVA]]*1.19</f>
        <v>145199.03999999998</v>
      </c>
      <c r="Q156" s="31">
        <f t="shared" si="23"/>
        <v>35.117758762886602</v>
      </c>
      <c r="R156" s="45">
        <f>Tabla14[[#This Row],[INSTALLER SIN IVA]]*1.19</f>
        <v>170321.13</v>
      </c>
      <c r="S156" s="39">
        <v>122016</v>
      </c>
      <c r="T156" s="4">
        <v>143127</v>
      </c>
    </row>
    <row r="157" spans="1:20" ht="54" x14ac:dyDescent="0.25">
      <c r="A157" s="38" t="s">
        <v>110</v>
      </c>
      <c r="B157" s="37" t="s">
        <v>109</v>
      </c>
      <c r="C157" s="36">
        <f>+Tabla14[[#This Row],[PRECIO SUGERIDO INSTALADOR2]]</f>
        <v>162574.22999999998</v>
      </c>
      <c r="D157" s="36">
        <f>+Tabla14[[#This Row],[PRECIO  INSTALADOR
( CON  IVA)]]-Tabla14[[#This Row],[Columna1]]</f>
        <v>154445.51849999998</v>
      </c>
      <c r="E157" s="36">
        <f>+Tabla14[[#This Row],[DPP ORO2]]</f>
        <v>138614.76999999999</v>
      </c>
      <c r="F157" s="36">
        <f>+Tabla14[[#This Row],[Columna4]]</f>
        <v>137228.62229999999</v>
      </c>
      <c r="G157" s="36">
        <f>+Tabla14[[#This Row],[PRECIO  INSTALADOR
( CON  IVA)]]/0.7</f>
        <v>232248.9</v>
      </c>
      <c r="H157" s="35">
        <f>+Tabla14[[#This Row],[PRECIO SUGERIDO INSTALADOR2]]*5%</f>
        <v>8128.7114999999994</v>
      </c>
      <c r="I157" s="29">
        <f t="shared" si="16"/>
        <v>33.520459793814432</v>
      </c>
      <c r="J157" s="29">
        <f t="shared" si="17"/>
        <v>28.580364948453607</v>
      </c>
      <c r="K157" s="34">
        <f t="shared" si="18"/>
        <v>28.294561298969068</v>
      </c>
      <c r="L157" s="34">
        <f t="shared" si="19"/>
        <v>28.294561298969068</v>
      </c>
      <c r="M157" s="34">
        <f t="shared" si="20"/>
        <v>137228.62229999999</v>
      </c>
      <c r="N157" s="33">
        <f t="shared" si="21"/>
        <v>1386.1477</v>
      </c>
      <c r="O157" s="4">
        <f t="shared" si="22"/>
        <v>28.580364948453607</v>
      </c>
      <c r="P157" s="32">
        <f>Tabla14[[#This Row],[ORO SIN IVA]]*1.19</f>
        <v>138614.76999999999</v>
      </c>
      <c r="Q157" s="31">
        <f t="shared" si="23"/>
        <v>33.520459793814432</v>
      </c>
      <c r="R157" s="45">
        <f>Tabla14[[#This Row],[INSTALLER SIN IVA]]*1.19</f>
        <v>162574.22999999998</v>
      </c>
      <c r="S157" s="39">
        <v>116483</v>
      </c>
      <c r="T157" s="4">
        <v>136617</v>
      </c>
    </row>
    <row r="158" spans="1:20" ht="15" x14ac:dyDescent="0.25">
      <c r="A158" s="38" t="s">
        <v>108</v>
      </c>
      <c r="B158" s="37" t="s">
        <v>107</v>
      </c>
      <c r="C158" s="36">
        <f>+Tabla14[[#This Row],[PRECIO SUGERIDO INSTALADOR2]]</f>
        <v>175799.88999999998</v>
      </c>
      <c r="D158" s="36">
        <f>+Tabla14[[#This Row],[PRECIO  INSTALADOR
( CON  IVA)]]-Tabla14[[#This Row],[Columna1]]</f>
        <v>167009.89549999998</v>
      </c>
      <c r="E158" s="36">
        <f>+Tabla14[[#This Row],[DPP ORO2]]</f>
        <v>149847.18</v>
      </c>
      <c r="F158" s="36">
        <f>+Tabla14[[#This Row],[Columna4]]</f>
        <v>148348.70819999999</v>
      </c>
      <c r="G158" s="36">
        <f>+Tabla14[[#This Row],[PRECIO  INSTALADOR
( CON  IVA)]]/0.7</f>
        <v>251142.69999999998</v>
      </c>
      <c r="H158" s="35">
        <f>+Tabla14[[#This Row],[PRECIO SUGERIDO INSTALADOR2]]*5%</f>
        <v>8789.9944999999989</v>
      </c>
      <c r="I158" s="29">
        <f t="shared" si="16"/>
        <v>36.247399999999999</v>
      </c>
      <c r="J158" s="29">
        <f t="shared" si="17"/>
        <v>30.896325773195876</v>
      </c>
      <c r="K158" s="34">
        <f t="shared" si="18"/>
        <v>30.587362515463916</v>
      </c>
      <c r="L158" s="34">
        <f t="shared" si="19"/>
        <v>30.587362515463916</v>
      </c>
      <c r="M158" s="34">
        <f t="shared" si="20"/>
        <v>148348.70819999999</v>
      </c>
      <c r="N158" s="33">
        <f t="shared" si="21"/>
        <v>1498.4718</v>
      </c>
      <c r="O158" s="4">
        <f t="shared" si="22"/>
        <v>30.896325773195876</v>
      </c>
      <c r="P158" s="32">
        <f>Tabla14[[#This Row],[ORO SIN IVA]]*1.19</f>
        <v>149847.18</v>
      </c>
      <c r="Q158" s="31">
        <f t="shared" si="23"/>
        <v>36.247399999999999</v>
      </c>
      <c r="R158" s="45">
        <f>Tabla14[[#This Row],[INSTALLER SIN IVA]]*1.19</f>
        <v>175799.88999999998</v>
      </c>
      <c r="S158" s="39">
        <v>125922</v>
      </c>
      <c r="T158" s="4">
        <v>147731</v>
      </c>
    </row>
    <row r="159" spans="1:20" ht="27" x14ac:dyDescent="0.25">
      <c r="A159" s="47" t="s">
        <v>106</v>
      </c>
      <c r="B159" s="48" t="s">
        <v>105</v>
      </c>
      <c r="C159" s="36">
        <f>+Tabla14[[#This Row],[PRECIO SUGERIDO INSTALADOR2]]</f>
        <v>183158.85</v>
      </c>
      <c r="D159" s="36">
        <f>+Tabla14[[#This Row],[PRECIO  INSTALADOR
( CON  IVA)]]-Tabla14[[#This Row],[Columna1]]</f>
        <v>174000.9075</v>
      </c>
      <c r="E159" s="36">
        <f>+Tabla14[[#This Row],[DPP ORO2]]</f>
        <v>156100.63</v>
      </c>
      <c r="F159" s="36">
        <f>+Tabla14[[#This Row],[Columna4]]</f>
        <v>154539.6237</v>
      </c>
      <c r="G159" s="36">
        <f>+Tabla14[[#This Row],[PRECIO  INSTALADOR
( CON  IVA)]]/0.7</f>
        <v>261655.50000000003</v>
      </c>
      <c r="H159" s="35">
        <f>+Tabla14[[#This Row],[PRECIO SUGERIDO INSTALADOR2]]*5%</f>
        <v>9157.942500000001</v>
      </c>
      <c r="I159" s="29">
        <f t="shared" si="16"/>
        <v>37.764711340206183</v>
      </c>
      <c r="J159" s="29">
        <f t="shared" si="17"/>
        <v>32.185696907216496</v>
      </c>
      <c r="K159" s="34">
        <f t="shared" si="18"/>
        <v>31.863839938144331</v>
      </c>
      <c r="L159" s="34">
        <f t="shared" si="19"/>
        <v>31.863839938144331</v>
      </c>
      <c r="M159" s="34">
        <f t="shared" si="20"/>
        <v>154539.6237</v>
      </c>
      <c r="N159" s="33">
        <f t="shared" si="21"/>
        <v>1561.0063</v>
      </c>
      <c r="O159" s="4">
        <f t="shared" si="22"/>
        <v>32.185696907216496</v>
      </c>
      <c r="P159" s="32">
        <f>Tabla14[[#This Row],[ORO SIN IVA]]*1.19</f>
        <v>156100.63</v>
      </c>
      <c r="Q159" s="31">
        <f t="shared" si="23"/>
        <v>37.764711340206183</v>
      </c>
      <c r="R159" s="45">
        <f>Tabla14[[#This Row],[INSTALLER SIN IVA]]*1.19</f>
        <v>183158.85</v>
      </c>
      <c r="S159" s="39">
        <v>131177</v>
      </c>
      <c r="T159" s="4">
        <v>153915</v>
      </c>
    </row>
    <row r="160" spans="1:20" ht="40.5" x14ac:dyDescent="0.25">
      <c r="A160" s="47" t="s">
        <v>104</v>
      </c>
      <c r="B160" s="46" t="s">
        <v>103</v>
      </c>
      <c r="C160" s="36">
        <f>+Tabla14[[#This Row],[PRECIO SUGERIDO INSTALADOR2]]</f>
        <v>126717.15</v>
      </c>
      <c r="D160" s="36">
        <f>+Tabla14[[#This Row],[PRECIO  INSTALADOR
( CON  IVA)]]-Tabla14[[#This Row],[Columna1]]</f>
        <v>120381.2925</v>
      </c>
      <c r="E160" s="36">
        <f>+Tabla14[[#This Row],[DPP ORO2]]</f>
        <v>108013.92</v>
      </c>
      <c r="F160" s="36">
        <f>+Tabla14[[#This Row],[Columna4]]</f>
        <v>106933.78079999999</v>
      </c>
      <c r="G160" s="36">
        <f>+Tabla14[[#This Row],[PRECIO  INSTALADOR
( CON  IVA)]]/0.7</f>
        <v>181024.5</v>
      </c>
      <c r="H160" s="35">
        <f>+Tabla14[[#This Row],[PRECIO SUGERIDO INSTALADOR2]]*5%</f>
        <v>6335.8575000000001</v>
      </c>
      <c r="I160" s="29">
        <f t="shared" si="16"/>
        <v>26.127247422680412</v>
      </c>
      <c r="J160" s="29">
        <f t="shared" si="17"/>
        <v>22.270911340206187</v>
      </c>
      <c r="K160" s="34">
        <f t="shared" si="18"/>
        <v>22.048202226804122</v>
      </c>
      <c r="L160" s="34">
        <f t="shared" si="19"/>
        <v>22.048202226804122</v>
      </c>
      <c r="M160" s="34">
        <f t="shared" si="20"/>
        <v>106933.78079999999</v>
      </c>
      <c r="N160" s="33">
        <f t="shared" si="21"/>
        <v>1080.1392000000001</v>
      </c>
      <c r="O160" s="4">
        <f t="shared" si="22"/>
        <v>22.270911340206187</v>
      </c>
      <c r="P160" s="32">
        <f>Tabla14[[#This Row],[ORO SIN IVA]]*1.19</f>
        <v>108013.92</v>
      </c>
      <c r="Q160" s="31">
        <f t="shared" si="23"/>
        <v>26.127247422680412</v>
      </c>
      <c r="R160" s="45">
        <f>Tabla14[[#This Row],[INSTALLER SIN IVA]]*1.19</f>
        <v>126717.15</v>
      </c>
      <c r="S160" s="39">
        <v>90768</v>
      </c>
      <c r="T160" s="4">
        <v>106485</v>
      </c>
    </row>
    <row r="161" spans="1:20" ht="27" x14ac:dyDescent="0.25">
      <c r="A161" s="38" t="s">
        <v>102</v>
      </c>
      <c r="B161" s="37" t="s">
        <v>101</v>
      </c>
      <c r="C161" s="36">
        <f>+Tabla14[[#This Row],[PRECIO SUGERIDO INSTALADOR2]]</f>
        <v>126717.15</v>
      </c>
      <c r="D161" s="36">
        <f>+Tabla14[[#This Row],[PRECIO  INSTALADOR
( CON  IVA)]]-Tabla14[[#This Row],[Columna1]]</f>
        <v>120381.2925</v>
      </c>
      <c r="E161" s="36">
        <f>+Tabla14[[#This Row],[DPP ORO2]]</f>
        <v>108013.92</v>
      </c>
      <c r="F161" s="36">
        <f>+Tabla14[[#This Row],[Columna4]]</f>
        <v>106933.78079999999</v>
      </c>
      <c r="G161" s="36">
        <f>+Tabla14[[#This Row],[PRECIO  INSTALADOR
( CON  IVA)]]/0.7</f>
        <v>181024.5</v>
      </c>
      <c r="H161" s="35">
        <f>+Tabla14[[#This Row],[PRECIO SUGERIDO INSTALADOR2]]*5%</f>
        <v>6335.8575000000001</v>
      </c>
      <c r="I161" s="29">
        <f t="shared" si="16"/>
        <v>26.127247422680412</v>
      </c>
      <c r="J161" s="29">
        <f t="shared" si="17"/>
        <v>22.270911340206187</v>
      </c>
      <c r="K161" s="34">
        <f t="shared" si="18"/>
        <v>22.048202226804122</v>
      </c>
      <c r="L161" s="34">
        <f t="shared" si="19"/>
        <v>22.048202226804122</v>
      </c>
      <c r="M161" s="34">
        <f t="shared" si="20"/>
        <v>106933.78079999999</v>
      </c>
      <c r="N161" s="33">
        <f t="shared" si="21"/>
        <v>1080.1392000000001</v>
      </c>
      <c r="O161" s="4">
        <f t="shared" si="22"/>
        <v>22.270911340206187</v>
      </c>
      <c r="P161" s="32">
        <f>Tabla14[[#This Row],[ORO SIN IVA]]*1.19</f>
        <v>108013.92</v>
      </c>
      <c r="Q161" s="31">
        <f t="shared" si="23"/>
        <v>26.127247422680412</v>
      </c>
      <c r="R161" s="45">
        <f>Tabla14[[#This Row],[INSTALLER SIN IVA]]*1.19</f>
        <v>126717.15</v>
      </c>
      <c r="S161" s="39">
        <v>90768</v>
      </c>
      <c r="T161" s="4">
        <v>106485</v>
      </c>
    </row>
    <row r="162" spans="1:20" ht="27" x14ac:dyDescent="0.25">
      <c r="A162" s="47" t="s">
        <v>100</v>
      </c>
      <c r="B162" s="48" t="s">
        <v>98</v>
      </c>
      <c r="C162" s="36">
        <f>+Tabla14[[#This Row],[PRECIO SUGERIDO INSTALADOR2]]</f>
        <v>137784.15</v>
      </c>
      <c r="D162" s="36">
        <f>+Tabla14[[#This Row],[PRECIO  INSTALADOR
( CON  IVA)]]-Tabla14[[#This Row],[Columna1]]</f>
        <v>130894.94249999999</v>
      </c>
      <c r="E162" s="36">
        <f>+Tabla14[[#This Row],[DPP ORO2]]</f>
        <v>117476.79999999999</v>
      </c>
      <c r="F162" s="36">
        <f>+Tabla14[[#This Row],[Columna4]]</f>
        <v>116302.03199999999</v>
      </c>
      <c r="G162" s="36">
        <f>+Tabla14[[#This Row],[PRECIO  INSTALADOR
( CON  IVA)]]/0.7</f>
        <v>196834.5</v>
      </c>
      <c r="H162" s="35">
        <f>+Tabla14[[#This Row],[PRECIO SUGERIDO INSTALADOR2]]*5%</f>
        <v>6889.2075000000004</v>
      </c>
      <c r="I162" s="29">
        <f t="shared" si="16"/>
        <v>28.409103092783504</v>
      </c>
      <c r="J162" s="29">
        <f t="shared" si="17"/>
        <v>24.222020618556698</v>
      </c>
      <c r="K162" s="34">
        <f t="shared" si="18"/>
        <v>23.979800412371134</v>
      </c>
      <c r="L162" s="34">
        <f t="shared" si="19"/>
        <v>23.979800412371134</v>
      </c>
      <c r="M162" s="34">
        <f t="shared" si="20"/>
        <v>116302.03199999999</v>
      </c>
      <c r="N162" s="33">
        <f t="shared" si="21"/>
        <v>1174.7679999999998</v>
      </c>
      <c r="O162" s="4">
        <f t="shared" si="22"/>
        <v>24.222020618556698</v>
      </c>
      <c r="P162" s="32">
        <f>Tabla14[[#This Row],[ORO SIN IVA]]*1.19</f>
        <v>117476.79999999999</v>
      </c>
      <c r="Q162" s="31">
        <f t="shared" si="23"/>
        <v>28.409103092783504</v>
      </c>
      <c r="R162" s="45">
        <f>Tabla14[[#This Row],[INSTALLER SIN IVA]]*1.19</f>
        <v>137784.15</v>
      </c>
      <c r="S162" s="39">
        <v>98720</v>
      </c>
      <c r="T162" s="4">
        <v>115785</v>
      </c>
    </row>
    <row r="163" spans="1:20" ht="27" x14ac:dyDescent="0.25">
      <c r="A163" s="38" t="s">
        <v>99</v>
      </c>
      <c r="B163" s="37" t="s">
        <v>98</v>
      </c>
      <c r="C163" s="36">
        <f>+Tabla14[[#This Row],[PRECIO SUGERIDO INSTALADOR2]]</f>
        <v>137784.15</v>
      </c>
      <c r="D163" s="36">
        <f>+Tabla14[[#This Row],[PRECIO  INSTALADOR
( CON  IVA)]]-Tabla14[[#This Row],[Columna1]]</f>
        <v>130894.94249999999</v>
      </c>
      <c r="E163" s="36">
        <f>+Tabla14[[#This Row],[DPP ORO2]]</f>
        <v>117476.79999999999</v>
      </c>
      <c r="F163" s="36">
        <f>+Tabla14[[#This Row],[Columna4]]</f>
        <v>116302.03199999999</v>
      </c>
      <c r="G163" s="36">
        <f>+Tabla14[[#This Row],[PRECIO  INSTALADOR
( CON  IVA)]]/0.7</f>
        <v>196834.5</v>
      </c>
      <c r="H163" s="35">
        <f>+Tabla14[[#This Row],[PRECIO SUGERIDO INSTALADOR2]]*5%</f>
        <v>6889.2075000000004</v>
      </c>
      <c r="I163" s="29">
        <f t="shared" si="16"/>
        <v>28.409103092783504</v>
      </c>
      <c r="J163" s="29">
        <f t="shared" si="17"/>
        <v>24.222020618556698</v>
      </c>
      <c r="K163" s="34">
        <f t="shared" si="18"/>
        <v>23.979800412371134</v>
      </c>
      <c r="L163" s="34">
        <f t="shared" si="19"/>
        <v>23.979800412371134</v>
      </c>
      <c r="M163" s="34">
        <f t="shared" si="20"/>
        <v>116302.03199999999</v>
      </c>
      <c r="N163" s="33">
        <f t="shared" si="21"/>
        <v>1174.7679999999998</v>
      </c>
      <c r="O163" s="4">
        <f t="shared" si="22"/>
        <v>24.222020618556698</v>
      </c>
      <c r="P163" s="32">
        <f>Tabla14[[#This Row],[ORO SIN IVA]]*1.19</f>
        <v>117476.79999999999</v>
      </c>
      <c r="Q163" s="31">
        <f t="shared" si="23"/>
        <v>28.409103092783504</v>
      </c>
      <c r="R163" s="45">
        <f>Tabla14[[#This Row],[INSTALLER SIN IVA]]*1.19</f>
        <v>137784.15</v>
      </c>
      <c r="S163" s="39">
        <v>98720</v>
      </c>
      <c r="T163" s="4">
        <v>115785</v>
      </c>
    </row>
    <row r="164" spans="1:20" ht="15" x14ac:dyDescent="0.25">
      <c r="A164" s="47" t="s">
        <v>97</v>
      </c>
      <c r="B164" s="48" t="s">
        <v>95</v>
      </c>
      <c r="C164" s="36">
        <f>+Tabla14[[#This Row],[PRECIO SUGERIDO INSTALADOR2]]</f>
        <v>193617.75999999998</v>
      </c>
      <c r="D164" s="36">
        <f>+Tabla14[[#This Row],[PRECIO  INSTALADOR
( CON  IVA)]]-Tabla14[[#This Row],[Columna1]]</f>
        <v>183936.87199999997</v>
      </c>
      <c r="E164" s="36">
        <f>+Tabla14[[#This Row],[DPP ORO2]]</f>
        <v>165064.9</v>
      </c>
      <c r="F164" s="36">
        <f>+Tabla14[[#This Row],[Columna4]]</f>
        <v>163414.25099999999</v>
      </c>
      <c r="G164" s="36">
        <f>+Tabla14[[#This Row],[PRECIO  INSTALADOR
( CON  IVA)]]/0.7</f>
        <v>276596.8</v>
      </c>
      <c r="H164" s="35">
        <f>+Tabla14[[#This Row],[PRECIO SUGERIDO INSTALADOR2]]*5%</f>
        <v>9680.887999999999</v>
      </c>
      <c r="I164" s="29">
        <f t="shared" si="16"/>
        <v>39.921187628865972</v>
      </c>
      <c r="J164" s="29">
        <f t="shared" si="17"/>
        <v>34.033999999999999</v>
      </c>
      <c r="K164" s="34">
        <f t="shared" si="18"/>
        <v>33.693660000000001</v>
      </c>
      <c r="L164" s="34">
        <f t="shared" si="19"/>
        <v>33.693660000000001</v>
      </c>
      <c r="M164" s="34">
        <f t="shared" si="20"/>
        <v>163414.25099999999</v>
      </c>
      <c r="N164" s="33">
        <f t="shared" si="21"/>
        <v>1650.6489999999999</v>
      </c>
      <c r="O164" s="4">
        <f t="shared" si="22"/>
        <v>34.033999999999999</v>
      </c>
      <c r="P164" s="32">
        <f>Tabla14[[#This Row],[ORO SIN IVA]]*1.19</f>
        <v>165064.9</v>
      </c>
      <c r="Q164" s="31">
        <f t="shared" si="23"/>
        <v>39.921187628865972</v>
      </c>
      <c r="R164" s="45">
        <f>Tabla14[[#This Row],[INSTALLER SIN IVA]]*1.19</f>
        <v>193617.75999999998</v>
      </c>
      <c r="S164" s="39">
        <v>138710</v>
      </c>
      <c r="T164" s="4">
        <v>162704</v>
      </c>
    </row>
    <row r="165" spans="1:20" ht="15" x14ac:dyDescent="0.25">
      <c r="A165" s="38" t="s">
        <v>96</v>
      </c>
      <c r="B165" s="37" t="s">
        <v>95</v>
      </c>
      <c r="C165" s="36">
        <f>+Tabla14[[#This Row],[PRECIO SUGERIDO INSTALADOR2]]</f>
        <v>185870.86</v>
      </c>
      <c r="D165" s="36">
        <f>+Tabla14[[#This Row],[PRECIO  INSTALADOR
( CON  IVA)]]-Tabla14[[#This Row],[Columna1]]</f>
        <v>176577.31699999998</v>
      </c>
      <c r="E165" s="36">
        <f>+Tabla14[[#This Row],[DPP ORO2]]</f>
        <v>158424.69999999998</v>
      </c>
      <c r="F165" s="36">
        <f>+Tabla14[[#This Row],[Columna4]]</f>
        <v>156840.45299999998</v>
      </c>
      <c r="G165" s="36">
        <f>+Tabla14[[#This Row],[PRECIO  INSTALADOR
( CON  IVA)]]/0.7</f>
        <v>265529.8</v>
      </c>
      <c r="H165" s="35">
        <f>+Tabla14[[#This Row],[PRECIO SUGERIDO INSTALADOR2]]*5%</f>
        <v>9293.5429999999997</v>
      </c>
      <c r="I165" s="29">
        <f t="shared" si="16"/>
        <v>38.323888659793809</v>
      </c>
      <c r="J165" s="29">
        <f t="shared" si="17"/>
        <v>32.664886597938143</v>
      </c>
      <c r="K165" s="34">
        <f t="shared" si="18"/>
        <v>32.338237731958756</v>
      </c>
      <c r="L165" s="34">
        <f t="shared" si="19"/>
        <v>32.338237731958756</v>
      </c>
      <c r="M165" s="34">
        <f t="shared" si="20"/>
        <v>156840.45299999998</v>
      </c>
      <c r="N165" s="33">
        <f t="shared" si="21"/>
        <v>1584.2469999999998</v>
      </c>
      <c r="O165" s="4">
        <f t="shared" si="22"/>
        <v>32.664886597938143</v>
      </c>
      <c r="P165" s="32">
        <f>Tabla14[[#This Row],[ORO SIN IVA]]*1.19</f>
        <v>158424.69999999998</v>
      </c>
      <c r="Q165" s="31">
        <f t="shared" si="23"/>
        <v>38.323888659793809</v>
      </c>
      <c r="R165" s="45">
        <f>Tabla14[[#This Row],[INSTALLER SIN IVA]]*1.19</f>
        <v>185870.86</v>
      </c>
      <c r="S165" s="39">
        <v>133130</v>
      </c>
      <c r="T165" s="4">
        <v>156194</v>
      </c>
    </row>
    <row r="166" spans="1:20" ht="40.5" x14ac:dyDescent="0.25">
      <c r="A166" s="47" t="s">
        <v>94</v>
      </c>
      <c r="B166" s="46" t="s">
        <v>93</v>
      </c>
      <c r="C166" s="36">
        <f>+Tabla14[[#This Row],[PRECIO SUGERIDO INSTALADOR2]]</f>
        <v>215806.5</v>
      </c>
      <c r="D166" s="36">
        <f>+Tabla14[[#This Row],[PRECIO  INSTALADOR
( CON  IVA)]]-Tabla14[[#This Row],[Columna1]]</f>
        <v>205016.17499999999</v>
      </c>
      <c r="E166" s="36">
        <f>+Tabla14[[#This Row],[DPP ORO2]]</f>
        <v>183989.47</v>
      </c>
      <c r="F166" s="36">
        <f>+Tabla14[[#This Row],[Columna4]]</f>
        <v>182149.5753</v>
      </c>
      <c r="G166" s="36">
        <f>+Tabla14[[#This Row],[PRECIO  INSTALADOR
( CON  IVA)]]/0.7</f>
        <v>308295</v>
      </c>
      <c r="H166" s="35">
        <f>+Tabla14[[#This Row],[PRECIO SUGERIDO INSTALADOR2]]*5%</f>
        <v>10790.325000000001</v>
      </c>
      <c r="I166" s="29">
        <f t="shared" si="16"/>
        <v>44.496185567010308</v>
      </c>
      <c r="J166" s="29">
        <f t="shared" si="17"/>
        <v>37.935973195876286</v>
      </c>
      <c r="K166" s="34">
        <f t="shared" si="18"/>
        <v>37.556613463917522</v>
      </c>
      <c r="L166" s="34">
        <f t="shared" si="19"/>
        <v>37.556613463917522</v>
      </c>
      <c r="M166" s="34">
        <f t="shared" si="20"/>
        <v>182149.5753</v>
      </c>
      <c r="N166" s="33">
        <f t="shared" si="21"/>
        <v>1839.8947000000001</v>
      </c>
      <c r="O166" s="4">
        <f t="shared" si="22"/>
        <v>37.935973195876286</v>
      </c>
      <c r="P166" s="32">
        <f>Tabla14[[#This Row],[ORO SIN IVA]]*1.19</f>
        <v>183989.47</v>
      </c>
      <c r="Q166" s="31">
        <f t="shared" si="23"/>
        <v>44.496185567010308</v>
      </c>
      <c r="R166" s="45">
        <f>Tabla14[[#This Row],[INSTALLER SIN IVA]]*1.19</f>
        <v>215806.5</v>
      </c>
      <c r="S166" s="39">
        <v>154613</v>
      </c>
      <c r="T166" s="4">
        <v>181350</v>
      </c>
    </row>
    <row r="167" spans="1:20" ht="40.5" x14ac:dyDescent="0.25">
      <c r="A167" s="38" t="s">
        <v>92</v>
      </c>
      <c r="B167" s="37" t="s">
        <v>91</v>
      </c>
      <c r="C167" s="36">
        <f>+Tabla14[[#This Row],[PRECIO SUGERIDO INSTALADOR2]]</f>
        <v>337710.1</v>
      </c>
      <c r="D167" s="36">
        <f>+Tabla14[[#This Row],[PRECIO  INSTALADOR
( CON  IVA)]]-Tabla14[[#This Row],[Columna1]]</f>
        <v>320824.59499999997</v>
      </c>
      <c r="E167" s="36">
        <f>+Tabla14[[#This Row],[DPP ORO2]]</f>
        <v>287908.59999999998</v>
      </c>
      <c r="F167" s="36">
        <f>+Tabla14[[#This Row],[Columna4]]</f>
        <v>285029.51399999997</v>
      </c>
      <c r="G167" s="36">
        <f>+Tabla14[[#This Row],[PRECIO  INSTALADOR
( CON  IVA)]]/0.7</f>
        <v>482443</v>
      </c>
      <c r="H167" s="35">
        <f>+Tabla14[[#This Row],[PRECIO SUGERIDO INSTALADOR2]]*5%</f>
        <v>16885.505000000001</v>
      </c>
      <c r="I167" s="29">
        <f t="shared" si="16"/>
        <v>69.630948453608241</v>
      </c>
      <c r="J167" s="29">
        <f t="shared" si="17"/>
        <v>59.362597938144326</v>
      </c>
      <c r="K167" s="34">
        <f t="shared" si="18"/>
        <v>58.768971958762883</v>
      </c>
      <c r="L167" s="34">
        <f t="shared" si="19"/>
        <v>58.768971958762883</v>
      </c>
      <c r="M167" s="34">
        <f t="shared" si="20"/>
        <v>285029.51399999997</v>
      </c>
      <c r="N167" s="33">
        <f t="shared" si="21"/>
        <v>2879.0859999999998</v>
      </c>
      <c r="O167" s="4">
        <f t="shared" si="22"/>
        <v>59.362597938144326</v>
      </c>
      <c r="P167" s="32">
        <f>Tabla14[[#This Row],[ORO SIN IVA]]*1.19</f>
        <v>287908.59999999998</v>
      </c>
      <c r="Q167" s="31">
        <f t="shared" si="23"/>
        <v>69.630948453608241</v>
      </c>
      <c r="R167" s="45">
        <f>Tabla14[[#This Row],[INSTALLER SIN IVA]]*1.19</f>
        <v>337710.1</v>
      </c>
      <c r="S167" s="39">
        <v>241940</v>
      </c>
      <c r="T167" s="4">
        <v>283790</v>
      </c>
    </row>
    <row r="168" spans="1:20" ht="27" x14ac:dyDescent="0.25">
      <c r="A168" s="47" t="s">
        <v>90</v>
      </c>
      <c r="B168" s="48" t="s">
        <v>89</v>
      </c>
      <c r="C168" s="36">
        <f>+Tabla14[[#This Row],[PRECIO SUGERIDO INSTALADOR2]]</f>
        <v>433937.07</v>
      </c>
      <c r="D168" s="36">
        <f>+Tabla14[[#This Row],[PRECIO  INSTALADOR
( CON  IVA)]]-Tabla14[[#This Row],[Columna1]]</f>
        <v>412240.21649999998</v>
      </c>
      <c r="E168" s="36">
        <f>+Tabla14[[#This Row],[DPP ORO2]]</f>
        <v>369915.07</v>
      </c>
      <c r="F168" s="36">
        <f>+Tabla14[[#This Row],[Columna4]]</f>
        <v>366215.91930000001</v>
      </c>
      <c r="G168" s="36">
        <f>+Tabla14[[#This Row],[PRECIO  INSTALADOR
( CON  IVA)]]/0.7</f>
        <v>619910.10000000009</v>
      </c>
      <c r="H168" s="35">
        <f>+Tabla14[[#This Row],[PRECIO SUGERIDO INSTALADOR2]]*5%</f>
        <v>21696.853500000001</v>
      </c>
      <c r="I168" s="29">
        <f t="shared" si="16"/>
        <v>89.471560824742269</v>
      </c>
      <c r="J168" s="29">
        <f t="shared" si="17"/>
        <v>76.271148453608248</v>
      </c>
      <c r="K168" s="34">
        <f t="shared" si="18"/>
        <v>75.508436969072164</v>
      </c>
      <c r="L168" s="34">
        <f t="shared" si="19"/>
        <v>75.508436969072164</v>
      </c>
      <c r="M168" s="34">
        <f t="shared" si="20"/>
        <v>366215.91930000001</v>
      </c>
      <c r="N168" s="33">
        <f t="shared" si="21"/>
        <v>3699.1507000000001</v>
      </c>
      <c r="O168" s="4">
        <f t="shared" si="22"/>
        <v>76.271148453608248</v>
      </c>
      <c r="P168" s="32">
        <f>Tabla14[[#This Row],[ORO SIN IVA]]*1.19</f>
        <v>369915.07</v>
      </c>
      <c r="Q168" s="31">
        <f t="shared" si="23"/>
        <v>89.471560824742269</v>
      </c>
      <c r="R168" s="45">
        <f>Tabla14[[#This Row],[INSTALLER SIN IVA]]*1.19</f>
        <v>433937.07</v>
      </c>
      <c r="S168" s="39">
        <v>310853</v>
      </c>
      <c r="T168" s="4">
        <v>364653</v>
      </c>
    </row>
    <row r="169" spans="1:20" ht="27" x14ac:dyDescent="0.25">
      <c r="A169" s="38" t="s">
        <v>88</v>
      </c>
      <c r="B169" s="37" t="s">
        <v>87</v>
      </c>
      <c r="C169" s="36">
        <f>+Tabla14[[#This Row],[PRECIO SUGERIDO INSTALADOR2]]</f>
        <v>101816.4</v>
      </c>
      <c r="D169" s="36">
        <f>+Tabla14[[#This Row],[PRECIO  INSTALADOR
( CON  IVA)]]-Tabla14[[#This Row],[Columna1]]</f>
        <v>96725.579999999987</v>
      </c>
      <c r="E169" s="36">
        <f>+Tabla14[[#This Row],[DPP ORO2]]</f>
        <v>86821.209999999992</v>
      </c>
      <c r="F169" s="36">
        <f>+Tabla14[[#This Row],[Columna4]]</f>
        <v>85952.997899999988</v>
      </c>
      <c r="G169" s="36">
        <f>+Tabla14[[#This Row],[PRECIO  INSTALADOR
( CON  IVA)]]/0.7</f>
        <v>145452</v>
      </c>
      <c r="H169" s="35">
        <f>+Tabla14[[#This Row],[PRECIO SUGERIDO INSTALADOR2]]*5%</f>
        <v>5090.82</v>
      </c>
      <c r="I169" s="29">
        <f t="shared" si="16"/>
        <v>20.993072164948451</v>
      </c>
      <c r="J169" s="29">
        <f t="shared" si="17"/>
        <v>17.901280412371133</v>
      </c>
      <c r="K169" s="34">
        <f t="shared" si="18"/>
        <v>17.722267608247421</v>
      </c>
      <c r="L169" s="34">
        <f t="shared" si="19"/>
        <v>17.722267608247421</v>
      </c>
      <c r="M169" s="34">
        <f t="shared" si="20"/>
        <v>85952.997899999988</v>
      </c>
      <c r="N169" s="33">
        <f t="shared" si="21"/>
        <v>868.21209999999996</v>
      </c>
      <c r="O169" s="4">
        <f t="shared" si="22"/>
        <v>17.901280412371133</v>
      </c>
      <c r="P169" s="32">
        <f>Tabla14[[#This Row],[ORO SIN IVA]]*1.19</f>
        <v>86821.209999999992</v>
      </c>
      <c r="Q169" s="31">
        <f t="shared" si="23"/>
        <v>20.993072164948451</v>
      </c>
      <c r="R169" s="45">
        <f>Tabla14[[#This Row],[INSTALLER SIN IVA]]*1.19</f>
        <v>101816.4</v>
      </c>
      <c r="S169" s="39">
        <v>72959</v>
      </c>
      <c r="T169" s="4">
        <v>85560</v>
      </c>
    </row>
    <row r="170" spans="1:20" ht="40.5" x14ac:dyDescent="0.25">
      <c r="A170" s="38" t="s">
        <v>86</v>
      </c>
      <c r="B170" s="37" t="s">
        <v>84</v>
      </c>
      <c r="C170" s="36">
        <f>+Tabla14[[#This Row],[PRECIO SUGERIDO INSTALADOR2]]</f>
        <v>96614.909999999989</v>
      </c>
      <c r="D170" s="36">
        <f>+Tabla14[[#This Row],[PRECIO  INSTALADOR
( CON  IVA)]]-Tabla14[[#This Row],[Columna1]]</f>
        <v>91784.164499999984</v>
      </c>
      <c r="E170" s="36">
        <f>+Tabla14[[#This Row],[DPP ORO2]]</f>
        <v>82338.48</v>
      </c>
      <c r="F170" s="36">
        <f>+Tabla14[[#This Row],[Columna4]]</f>
        <v>81515.095199999996</v>
      </c>
      <c r="G170" s="36">
        <f>+Tabla14[[#This Row],[PRECIO  INSTALADOR
( CON  IVA)]]/0.7</f>
        <v>138021.29999999999</v>
      </c>
      <c r="H170" s="35">
        <f>+Tabla14[[#This Row],[PRECIO SUGERIDO INSTALADOR2]]*5%</f>
        <v>4830.7455</v>
      </c>
      <c r="I170" s="29">
        <f t="shared" si="16"/>
        <v>19.920599999999997</v>
      </c>
      <c r="J170" s="29">
        <f t="shared" si="17"/>
        <v>16.97700618556701</v>
      </c>
      <c r="K170" s="34">
        <f t="shared" si="18"/>
        <v>16.807236123711338</v>
      </c>
      <c r="L170" s="34">
        <f t="shared" si="19"/>
        <v>16.807236123711338</v>
      </c>
      <c r="M170" s="34">
        <f t="shared" si="20"/>
        <v>81515.095199999996</v>
      </c>
      <c r="N170" s="33">
        <f t="shared" si="21"/>
        <v>823.38479999999993</v>
      </c>
      <c r="O170" s="4">
        <f t="shared" si="22"/>
        <v>16.97700618556701</v>
      </c>
      <c r="P170" s="32">
        <f>Tabla14[[#This Row],[ORO SIN IVA]]*1.19</f>
        <v>82338.48</v>
      </c>
      <c r="Q170" s="31">
        <f t="shared" si="23"/>
        <v>19.920599999999997</v>
      </c>
      <c r="R170" s="45">
        <f>Tabla14[[#This Row],[INSTALLER SIN IVA]]*1.19</f>
        <v>96614.909999999989</v>
      </c>
      <c r="S170" s="39">
        <v>69192</v>
      </c>
      <c r="T170" s="4">
        <v>81189</v>
      </c>
    </row>
    <row r="171" spans="1:20" ht="40.5" x14ac:dyDescent="0.25">
      <c r="A171" s="38" t="s">
        <v>85</v>
      </c>
      <c r="B171" s="37" t="s">
        <v>84</v>
      </c>
      <c r="C171" s="36">
        <f>+Tabla14[[#This Row],[PRECIO SUGERIDO INSTALADOR2]]</f>
        <v>113104.73999999999</v>
      </c>
      <c r="D171" s="36">
        <f>+Tabla14[[#This Row],[PRECIO  INSTALADOR
( CON  IVA)]]-Tabla14[[#This Row],[Columna1]]</f>
        <v>107449.503</v>
      </c>
      <c r="E171" s="36">
        <f>+Tabla14[[#This Row],[DPP ORO2]]</f>
        <v>96393.569999999992</v>
      </c>
      <c r="F171" s="36">
        <f>+Tabla14[[#This Row],[Columna4]]</f>
        <v>95429.634299999991</v>
      </c>
      <c r="G171" s="36">
        <f>+Tabla14[[#This Row],[PRECIO  INSTALADOR
( CON  IVA)]]/0.7</f>
        <v>161578.19999999998</v>
      </c>
      <c r="H171" s="35">
        <f>+Tabla14[[#This Row],[PRECIO SUGERIDO INSTALADOR2]]*5%</f>
        <v>5655.2370000000001</v>
      </c>
      <c r="I171" s="29">
        <f t="shared" si="16"/>
        <v>23.320564948453605</v>
      </c>
      <c r="J171" s="29">
        <f t="shared" si="17"/>
        <v>19.874962886597938</v>
      </c>
      <c r="K171" s="34">
        <f t="shared" si="18"/>
        <v>19.676213257731956</v>
      </c>
      <c r="L171" s="34">
        <f t="shared" si="19"/>
        <v>19.676213257731956</v>
      </c>
      <c r="M171" s="34">
        <f t="shared" si="20"/>
        <v>95429.634299999991</v>
      </c>
      <c r="N171" s="33">
        <f t="shared" si="21"/>
        <v>963.9357</v>
      </c>
      <c r="O171" s="4">
        <f t="shared" si="22"/>
        <v>19.874962886597938</v>
      </c>
      <c r="P171" s="32">
        <f>Tabla14[[#This Row],[ORO SIN IVA]]*1.19</f>
        <v>96393.569999999992</v>
      </c>
      <c r="Q171" s="31">
        <f t="shared" si="23"/>
        <v>23.320564948453605</v>
      </c>
      <c r="R171" s="45">
        <f>Tabla14[[#This Row],[INSTALLER SIN IVA]]*1.19</f>
        <v>113104.73999999999</v>
      </c>
      <c r="S171" s="39">
        <v>81003</v>
      </c>
      <c r="T171" s="4">
        <v>95046</v>
      </c>
    </row>
    <row r="172" spans="1:20" ht="40.5" x14ac:dyDescent="0.25">
      <c r="A172" s="47" t="s">
        <v>83</v>
      </c>
      <c r="B172" s="48" t="s">
        <v>82</v>
      </c>
      <c r="C172" s="36">
        <f>+Tabla14[[#This Row],[PRECIO SUGERIDO INSTALADOR2]]</f>
        <v>86765.28</v>
      </c>
      <c r="D172" s="36">
        <f>+Tabla14[[#This Row],[PRECIO  INSTALADOR
( CON  IVA)]]-Tabla14[[#This Row],[Columna1]]</f>
        <v>82427.016000000003</v>
      </c>
      <c r="E172" s="36">
        <f>+Tabla14[[#This Row],[DPP ORO2]]</f>
        <v>73983.489999999991</v>
      </c>
      <c r="F172" s="36">
        <f>+Tabla14[[#This Row],[Columna4]]</f>
        <v>73243.655099999989</v>
      </c>
      <c r="G172" s="36">
        <f>+Tabla14[[#This Row],[PRECIO  INSTALADOR
( CON  IVA)]]/0.7</f>
        <v>123950.40000000001</v>
      </c>
      <c r="H172" s="35">
        <f>+Tabla14[[#This Row],[PRECIO SUGERIDO INSTALADOR2]]*5%</f>
        <v>4338.2640000000001</v>
      </c>
      <c r="I172" s="29">
        <f t="shared" si="16"/>
        <v>17.889748453608249</v>
      </c>
      <c r="J172" s="29">
        <f t="shared" si="17"/>
        <v>15.254327835051544</v>
      </c>
      <c r="K172" s="34">
        <f t="shared" si="18"/>
        <v>15.101784556701029</v>
      </c>
      <c r="L172" s="34">
        <f t="shared" si="19"/>
        <v>15.101784556701029</v>
      </c>
      <c r="M172" s="34">
        <f t="shared" si="20"/>
        <v>73243.655099999989</v>
      </c>
      <c r="N172" s="33">
        <f t="shared" si="21"/>
        <v>739.83489999999995</v>
      </c>
      <c r="O172" s="4">
        <f t="shared" si="22"/>
        <v>15.254327835051544</v>
      </c>
      <c r="P172" s="32">
        <f>Tabla14[[#This Row],[ORO SIN IVA]]*1.19</f>
        <v>73983.489999999991</v>
      </c>
      <c r="Q172" s="31">
        <f t="shared" si="23"/>
        <v>17.889748453608249</v>
      </c>
      <c r="R172" s="45">
        <f>Tabla14[[#This Row],[INSTALLER SIN IVA]]*1.19</f>
        <v>86765.28</v>
      </c>
      <c r="S172" s="39">
        <v>62171</v>
      </c>
      <c r="T172" s="4">
        <v>72912</v>
      </c>
    </row>
    <row r="173" spans="1:20" ht="27" x14ac:dyDescent="0.25">
      <c r="A173" s="38" t="s">
        <v>81</v>
      </c>
      <c r="B173" s="37" t="s">
        <v>80</v>
      </c>
      <c r="C173" s="36">
        <f>+Tabla14[[#This Row],[PRECIO SUGERIDO INSTALADOR2]]</f>
        <v>76750.239999999991</v>
      </c>
      <c r="D173" s="36">
        <f>+Tabla14[[#This Row],[PRECIO  INSTALADOR
( CON  IVA)]]-Tabla14[[#This Row],[Columna1]]</f>
        <v>72912.727999999988</v>
      </c>
      <c r="E173" s="36">
        <f>+Tabla14[[#This Row],[DPP ORO2]]</f>
        <v>65405.969999999994</v>
      </c>
      <c r="F173" s="36">
        <f>+Tabla14[[#This Row],[Columna4]]</f>
        <v>64751.910299999996</v>
      </c>
      <c r="G173" s="36">
        <f>+Tabla14[[#This Row],[PRECIO  INSTALADOR
( CON  IVA)]]/0.7</f>
        <v>109643.2</v>
      </c>
      <c r="H173" s="35">
        <f>+Tabla14[[#This Row],[PRECIO SUGERIDO INSTALADOR2]]*5%</f>
        <v>3837.5119999999997</v>
      </c>
      <c r="I173" s="29">
        <f t="shared" si="16"/>
        <v>15.824791752577317</v>
      </c>
      <c r="J173" s="29">
        <f t="shared" si="17"/>
        <v>13.485767010309278</v>
      </c>
      <c r="K173" s="34">
        <f t="shared" si="18"/>
        <v>13.350909340206185</v>
      </c>
      <c r="L173" s="34">
        <f t="shared" si="19"/>
        <v>13.350909340206185</v>
      </c>
      <c r="M173" s="34">
        <f t="shared" si="20"/>
        <v>64751.910299999996</v>
      </c>
      <c r="N173" s="33">
        <f t="shared" si="21"/>
        <v>654.05969999999991</v>
      </c>
      <c r="O173" s="4">
        <f t="shared" si="22"/>
        <v>13.485767010309278</v>
      </c>
      <c r="P173" s="32">
        <f>Tabla14[[#This Row],[ORO SIN IVA]]*1.19</f>
        <v>65405.969999999994</v>
      </c>
      <c r="Q173" s="31">
        <f t="shared" si="23"/>
        <v>15.824791752577317</v>
      </c>
      <c r="R173" s="45">
        <f>Tabla14[[#This Row],[INSTALLER SIN IVA]]*1.19</f>
        <v>76750.239999999991</v>
      </c>
      <c r="S173" s="39">
        <v>54963</v>
      </c>
      <c r="T173" s="4">
        <v>64496</v>
      </c>
    </row>
    <row r="174" spans="1:20" ht="15" x14ac:dyDescent="0.25">
      <c r="A174" s="47" t="s">
        <v>79</v>
      </c>
      <c r="B174" s="46" t="s">
        <v>78</v>
      </c>
      <c r="C174" s="36">
        <f>+Tabla14[[#This Row],[PRECIO SUGERIDO INSTALADOR2]]</f>
        <v>139333.53</v>
      </c>
      <c r="D174" s="36">
        <f>+Tabla14[[#This Row],[PRECIO  INSTALADOR
( CON  IVA)]]-Tabla14[[#This Row],[Columna1]]</f>
        <v>132366.8535</v>
      </c>
      <c r="E174" s="36">
        <f>+Tabla14[[#This Row],[DPP ORO2]]</f>
        <v>118804.84</v>
      </c>
      <c r="F174" s="36">
        <f>+Tabla14[[#This Row],[Columna4]]</f>
        <v>117616.7916</v>
      </c>
      <c r="G174" s="36">
        <f>+Tabla14[[#This Row],[PRECIO  INSTALADOR
( CON  IVA)]]/0.7</f>
        <v>199047.90000000002</v>
      </c>
      <c r="H174" s="35">
        <f>+Tabla14[[#This Row],[PRECIO SUGERIDO INSTALADOR2]]*5%</f>
        <v>6966.6765000000005</v>
      </c>
      <c r="I174" s="29">
        <f t="shared" si="16"/>
        <v>28.728562886597938</v>
      </c>
      <c r="J174" s="29">
        <f t="shared" si="17"/>
        <v>24.495843298969071</v>
      </c>
      <c r="K174" s="34">
        <f t="shared" si="18"/>
        <v>24.25088486597938</v>
      </c>
      <c r="L174" s="34">
        <f t="shared" si="19"/>
        <v>24.25088486597938</v>
      </c>
      <c r="M174" s="34">
        <f t="shared" si="20"/>
        <v>117616.7916</v>
      </c>
      <c r="N174" s="33">
        <f t="shared" si="21"/>
        <v>1188.0483999999999</v>
      </c>
      <c r="O174" s="4">
        <f t="shared" si="22"/>
        <v>24.495843298969071</v>
      </c>
      <c r="P174" s="32">
        <f>Tabla14[[#This Row],[ORO SIN IVA]]*1.19</f>
        <v>118804.84</v>
      </c>
      <c r="Q174" s="31">
        <f t="shared" si="23"/>
        <v>28.728562886597938</v>
      </c>
      <c r="R174" s="45">
        <f>Tabla14[[#This Row],[INSTALLER SIN IVA]]*1.19</f>
        <v>139333.53</v>
      </c>
      <c r="S174" s="39">
        <v>99836</v>
      </c>
      <c r="T174" s="4">
        <v>117087</v>
      </c>
    </row>
    <row r="175" spans="1:20" ht="27" x14ac:dyDescent="0.25">
      <c r="A175" s="38" t="s">
        <v>77</v>
      </c>
      <c r="B175" s="37" t="s">
        <v>76</v>
      </c>
      <c r="C175" s="36">
        <f>+Tabla14[[#This Row],[PRECIO SUGERIDO INSTALADOR2]]</f>
        <v>124559.67999999999</v>
      </c>
      <c r="D175" s="36">
        <f>+Tabla14[[#This Row],[PRECIO  INSTALADOR
( CON  IVA)]]-Tabla14[[#This Row],[Columna1]]</f>
        <v>118331.696</v>
      </c>
      <c r="E175" s="36">
        <f>+Tabla14[[#This Row],[DPP ORO2]]</f>
        <v>106188.45999999999</v>
      </c>
      <c r="F175" s="36">
        <f>+Tabla14[[#This Row],[Columna4]]</f>
        <v>105126.57539999999</v>
      </c>
      <c r="G175" s="36">
        <f>+Tabla14[[#This Row],[PRECIO  INSTALADOR
( CON  IVA)]]/0.7</f>
        <v>177942.39999999999</v>
      </c>
      <c r="H175" s="35">
        <f>+Tabla14[[#This Row],[PRECIO SUGERIDO INSTALADOR2]]*5%</f>
        <v>6227.9840000000004</v>
      </c>
      <c r="I175" s="29">
        <f t="shared" si="16"/>
        <v>25.682408247422678</v>
      </c>
      <c r="J175" s="29">
        <f t="shared" si="17"/>
        <v>21.894527835051544</v>
      </c>
      <c r="K175" s="34">
        <f t="shared" si="18"/>
        <v>21.675582556701027</v>
      </c>
      <c r="L175" s="34">
        <f t="shared" si="19"/>
        <v>21.675582556701027</v>
      </c>
      <c r="M175" s="34">
        <f t="shared" si="20"/>
        <v>105126.57539999999</v>
      </c>
      <c r="N175" s="33">
        <f t="shared" si="21"/>
        <v>1061.8845999999999</v>
      </c>
      <c r="O175" s="4">
        <f t="shared" si="22"/>
        <v>21.894527835051544</v>
      </c>
      <c r="P175" s="32">
        <f>Tabla14[[#This Row],[ORO SIN IVA]]*1.19</f>
        <v>106188.45999999999</v>
      </c>
      <c r="Q175" s="31">
        <f t="shared" si="23"/>
        <v>25.682408247422678</v>
      </c>
      <c r="R175" s="45">
        <f>Tabla14[[#This Row],[INSTALLER SIN IVA]]*1.19</f>
        <v>124559.67999999999</v>
      </c>
      <c r="S175" s="39">
        <v>89234</v>
      </c>
      <c r="T175" s="4">
        <v>104672</v>
      </c>
    </row>
    <row r="176" spans="1:20" ht="27" x14ac:dyDescent="0.25">
      <c r="A176" s="38" t="s">
        <v>75</v>
      </c>
      <c r="B176" s="37" t="s">
        <v>74</v>
      </c>
      <c r="C176" s="36">
        <f>+Tabla14[[#This Row],[PRECIO SUGERIDO INSTALADOR2]]</f>
        <v>124559.67999999999</v>
      </c>
      <c r="D176" s="36">
        <f>+Tabla14[[#This Row],[PRECIO  INSTALADOR
( CON  IVA)]]-Tabla14[[#This Row],[Columna1]]</f>
        <v>118331.696</v>
      </c>
      <c r="E176" s="36">
        <f>+Tabla14[[#This Row],[DPP ORO2]]</f>
        <v>106188.45999999999</v>
      </c>
      <c r="F176" s="36">
        <f>+Tabla14[[#This Row],[Columna4]]</f>
        <v>105126.57539999999</v>
      </c>
      <c r="G176" s="36">
        <f>+Tabla14[[#This Row],[PRECIO  INSTALADOR
( CON  IVA)]]/0.7</f>
        <v>177942.39999999999</v>
      </c>
      <c r="H176" s="35">
        <f>+Tabla14[[#This Row],[PRECIO SUGERIDO INSTALADOR2]]*5%</f>
        <v>6227.9840000000004</v>
      </c>
      <c r="I176" s="29">
        <f t="shared" si="16"/>
        <v>25.682408247422678</v>
      </c>
      <c r="J176" s="29">
        <f t="shared" si="17"/>
        <v>21.894527835051544</v>
      </c>
      <c r="K176" s="34">
        <f t="shared" si="18"/>
        <v>21.675582556701027</v>
      </c>
      <c r="L176" s="34">
        <f t="shared" si="19"/>
        <v>21.675582556701027</v>
      </c>
      <c r="M176" s="34">
        <f t="shared" si="20"/>
        <v>105126.57539999999</v>
      </c>
      <c r="N176" s="33">
        <f t="shared" si="21"/>
        <v>1061.8845999999999</v>
      </c>
      <c r="O176" s="4">
        <f t="shared" si="22"/>
        <v>21.894527835051544</v>
      </c>
      <c r="P176" s="32">
        <f>Tabla14[[#This Row],[ORO SIN IVA]]*1.19</f>
        <v>106188.45999999999</v>
      </c>
      <c r="Q176" s="31">
        <f t="shared" si="23"/>
        <v>25.682408247422678</v>
      </c>
      <c r="R176" s="45">
        <f>Tabla14[[#This Row],[INSTALLER SIN IVA]]*1.19</f>
        <v>124559.67999999999</v>
      </c>
      <c r="S176" s="39">
        <v>89234</v>
      </c>
      <c r="T176" s="4">
        <v>104672</v>
      </c>
    </row>
    <row r="177" spans="1:20" ht="27" x14ac:dyDescent="0.25">
      <c r="A177" s="38" t="s">
        <v>73</v>
      </c>
      <c r="B177" s="37" t="s">
        <v>72</v>
      </c>
      <c r="C177" s="36">
        <f>+Tabla14[[#This Row],[PRECIO SUGERIDO INSTALADOR2]]</f>
        <v>128433.12999999999</v>
      </c>
      <c r="D177" s="36">
        <f>+Tabla14[[#This Row],[PRECIO  INSTALADOR
( CON  IVA)]]-Tabla14[[#This Row],[Columna1]]</f>
        <v>122011.47349999999</v>
      </c>
      <c r="E177" s="36">
        <f>+Tabla14[[#This Row],[DPP ORO2]]</f>
        <v>109508.56</v>
      </c>
      <c r="F177" s="36">
        <f>+Tabla14[[#This Row],[Columna4]]</f>
        <v>108413.47439999999</v>
      </c>
      <c r="G177" s="36">
        <f>+Tabla14[[#This Row],[PRECIO  INSTALADOR
( CON  IVA)]]/0.7</f>
        <v>183475.9</v>
      </c>
      <c r="H177" s="35">
        <f>+Tabla14[[#This Row],[PRECIO SUGERIDO INSTALADOR2]]*5%</f>
        <v>6421.6565000000001</v>
      </c>
      <c r="I177" s="29">
        <f t="shared" si="16"/>
        <v>26.48105773195876</v>
      </c>
      <c r="J177" s="29">
        <f t="shared" si="17"/>
        <v>22.579084536082473</v>
      </c>
      <c r="K177" s="34">
        <f t="shared" si="18"/>
        <v>22.35329369072165</v>
      </c>
      <c r="L177" s="34">
        <f t="shared" si="19"/>
        <v>22.35329369072165</v>
      </c>
      <c r="M177" s="34">
        <f t="shared" si="20"/>
        <v>108413.47439999999</v>
      </c>
      <c r="N177" s="33">
        <f t="shared" si="21"/>
        <v>1095.0856000000001</v>
      </c>
      <c r="O177" s="4">
        <f t="shared" si="22"/>
        <v>22.579084536082473</v>
      </c>
      <c r="P177" s="32">
        <f>Tabla14[[#This Row],[ORO SIN IVA]]*1.19</f>
        <v>109508.56</v>
      </c>
      <c r="Q177" s="31">
        <f t="shared" si="23"/>
        <v>26.48105773195876</v>
      </c>
      <c r="R177" s="45">
        <f>Tabla14[[#This Row],[INSTALLER SIN IVA]]*1.19</f>
        <v>128433.12999999999</v>
      </c>
      <c r="S177" s="39">
        <v>92024</v>
      </c>
      <c r="T177" s="4">
        <v>107927</v>
      </c>
    </row>
    <row r="178" spans="1:20" ht="40.5" x14ac:dyDescent="0.25">
      <c r="A178" s="38" t="s">
        <v>71</v>
      </c>
      <c r="B178" s="37" t="s">
        <v>70</v>
      </c>
      <c r="C178" s="36">
        <f>+Tabla14[[#This Row],[PRECIO SUGERIDO INSTALADOR2]]</f>
        <v>109397.89</v>
      </c>
      <c r="D178" s="36">
        <f>+Tabla14[[#This Row],[PRECIO  INSTALADOR
( CON  IVA)]]-Tabla14[[#This Row],[Columna1]]</f>
        <v>103927.9955</v>
      </c>
      <c r="E178" s="36">
        <f>+Tabla14[[#This Row],[DPP ORO2]]</f>
        <v>93294.81</v>
      </c>
      <c r="F178" s="36">
        <f>+Tabla14[[#This Row],[Columna4]]</f>
        <v>92361.861900000004</v>
      </c>
      <c r="G178" s="36">
        <f>+Tabla14[[#This Row],[PRECIO  INSTALADOR
( CON  IVA)]]/0.7</f>
        <v>156282.70000000001</v>
      </c>
      <c r="H178" s="35">
        <f>+Tabla14[[#This Row],[PRECIO SUGERIDO INSTALADOR2]]*5%</f>
        <v>5469.8945000000003</v>
      </c>
      <c r="I178" s="29">
        <f t="shared" si="16"/>
        <v>22.556265979381443</v>
      </c>
      <c r="J178" s="29">
        <f t="shared" si="17"/>
        <v>19.236043298969072</v>
      </c>
      <c r="K178" s="34">
        <f t="shared" si="18"/>
        <v>19.043682865979381</v>
      </c>
      <c r="L178" s="34">
        <f t="shared" si="19"/>
        <v>19.043682865979381</v>
      </c>
      <c r="M178" s="34">
        <f t="shared" si="20"/>
        <v>92361.861900000004</v>
      </c>
      <c r="N178" s="33">
        <f t="shared" si="21"/>
        <v>932.94809999999995</v>
      </c>
      <c r="O178" s="4">
        <f t="shared" si="22"/>
        <v>19.236043298969072</v>
      </c>
      <c r="P178" s="32">
        <f>Tabla14[[#This Row],[ORO SIN IVA]]*1.19</f>
        <v>93294.81</v>
      </c>
      <c r="Q178" s="31">
        <f t="shared" si="23"/>
        <v>22.556265979381443</v>
      </c>
      <c r="R178" s="45">
        <f>Tabla14[[#This Row],[INSTALLER SIN IVA]]*1.19</f>
        <v>109397.89</v>
      </c>
      <c r="S178" s="39">
        <v>78399</v>
      </c>
      <c r="T178" s="4">
        <v>91931</v>
      </c>
    </row>
    <row r="179" spans="1:20" ht="27" x14ac:dyDescent="0.25">
      <c r="A179" s="38" t="s">
        <v>69</v>
      </c>
      <c r="B179" s="37" t="s">
        <v>68</v>
      </c>
      <c r="C179" s="36">
        <f>+Tabla14[[#This Row],[PRECIO SUGERIDO INSTALADOR2]]</f>
        <v>109397.89</v>
      </c>
      <c r="D179" s="36">
        <f>+Tabla14[[#This Row],[PRECIO  INSTALADOR
( CON  IVA)]]-Tabla14[[#This Row],[Columna1]]</f>
        <v>103927.9955</v>
      </c>
      <c r="E179" s="36">
        <f>+Tabla14[[#This Row],[DPP ORO2]]</f>
        <v>93294.81</v>
      </c>
      <c r="F179" s="36">
        <f>+Tabla14[[#This Row],[Columna4]]</f>
        <v>92361.861900000004</v>
      </c>
      <c r="G179" s="36">
        <f>+Tabla14[[#This Row],[PRECIO  INSTALADOR
( CON  IVA)]]/0.7</f>
        <v>156282.70000000001</v>
      </c>
      <c r="H179" s="35">
        <f>+Tabla14[[#This Row],[PRECIO SUGERIDO INSTALADOR2]]*5%</f>
        <v>5469.8945000000003</v>
      </c>
      <c r="I179" s="29">
        <f t="shared" si="16"/>
        <v>22.556265979381443</v>
      </c>
      <c r="J179" s="29">
        <f t="shared" si="17"/>
        <v>19.236043298969072</v>
      </c>
      <c r="K179" s="34">
        <f t="shared" si="18"/>
        <v>19.043682865979381</v>
      </c>
      <c r="L179" s="34">
        <f t="shared" si="19"/>
        <v>19.043682865979381</v>
      </c>
      <c r="M179" s="34">
        <f t="shared" si="20"/>
        <v>92361.861900000004</v>
      </c>
      <c r="N179" s="33">
        <f t="shared" si="21"/>
        <v>932.94809999999995</v>
      </c>
      <c r="O179" s="4">
        <f t="shared" si="22"/>
        <v>19.236043298969072</v>
      </c>
      <c r="P179" s="32">
        <f>Tabla14[[#This Row],[ORO SIN IVA]]*1.19</f>
        <v>93294.81</v>
      </c>
      <c r="Q179" s="31">
        <f t="shared" si="23"/>
        <v>22.556265979381443</v>
      </c>
      <c r="R179" s="45">
        <f>Tabla14[[#This Row],[INSTALLER SIN IVA]]*1.19</f>
        <v>109397.89</v>
      </c>
      <c r="S179" s="39">
        <v>78399</v>
      </c>
      <c r="T179" s="4">
        <v>91931</v>
      </c>
    </row>
    <row r="180" spans="1:20" ht="40.5" x14ac:dyDescent="0.25">
      <c r="A180" s="38" t="s">
        <v>67</v>
      </c>
      <c r="B180" s="37" t="s">
        <v>66</v>
      </c>
      <c r="C180" s="36">
        <f>+Tabla14[[#This Row],[PRECIO SUGERIDO INSTALADOR2]]</f>
        <v>116812.78</v>
      </c>
      <c r="D180" s="36">
        <f>+Tabla14[[#This Row],[PRECIO  INSTALADOR
( CON  IVA)]]-Tabla14[[#This Row],[Columna1]]</f>
        <v>110972.141</v>
      </c>
      <c r="E180" s="36">
        <f>+Tabla14[[#This Row],[DPP ORO2]]</f>
        <v>99548.26</v>
      </c>
      <c r="F180" s="36">
        <f>+Tabla14[[#This Row],[Columna4]]</f>
        <v>98552.777399999992</v>
      </c>
      <c r="G180" s="36">
        <f>+Tabla14[[#This Row],[PRECIO  INSTALADOR
( CON  IVA)]]/0.7</f>
        <v>166875.40000000002</v>
      </c>
      <c r="H180" s="35">
        <f>+Tabla14[[#This Row],[PRECIO SUGERIDO INSTALADOR2]]*5%</f>
        <v>5840.6390000000001</v>
      </c>
      <c r="I180" s="29">
        <f t="shared" si="16"/>
        <v>24.085109278350515</v>
      </c>
      <c r="J180" s="29">
        <f t="shared" si="17"/>
        <v>20.525414432989688</v>
      </c>
      <c r="K180" s="34">
        <f t="shared" si="18"/>
        <v>20.320160288659793</v>
      </c>
      <c r="L180" s="34">
        <f t="shared" si="19"/>
        <v>20.320160288659793</v>
      </c>
      <c r="M180" s="34">
        <f t="shared" si="20"/>
        <v>98552.777399999992</v>
      </c>
      <c r="N180" s="33">
        <f t="shared" si="21"/>
        <v>995.48259999999993</v>
      </c>
      <c r="O180" s="4">
        <f t="shared" si="22"/>
        <v>20.525414432989688</v>
      </c>
      <c r="P180" s="32">
        <f>Tabla14[[#This Row],[ORO SIN IVA]]*1.19</f>
        <v>99548.26</v>
      </c>
      <c r="Q180" s="31">
        <f t="shared" si="23"/>
        <v>24.085109278350515</v>
      </c>
      <c r="R180" s="45">
        <f>Tabla14[[#This Row],[INSTALLER SIN IVA]]*1.19</f>
        <v>116812.78</v>
      </c>
      <c r="S180" s="39">
        <v>83654</v>
      </c>
      <c r="T180" s="4">
        <v>98162</v>
      </c>
    </row>
    <row r="181" spans="1:20" ht="27" x14ac:dyDescent="0.25">
      <c r="A181" s="38" t="s">
        <v>65</v>
      </c>
      <c r="B181" s="37" t="s">
        <v>64</v>
      </c>
      <c r="C181" s="36">
        <f>+Tabla14[[#This Row],[PRECIO SUGERIDO INSTALADOR2]]</f>
        <v>227593.44999999998</v>
      </c>
      <c r="D181" s="36">
        <f>+Tabla14[[#This Row],[PRECIO  INSTALADOR
( CON  IVA)]]-Tabla14[[#This Row],[Columna1]]</f>
        <v>216213.77749999997</v>
      </c>
      <c r="E181" s="36">
        <f>+Tabla14[[#This Row],[DPP ORO2]]</f>
        <v>194060.44</v>
      </c>
      <c r="F181" s="36">
        <f>+Tabla14[[#This Row],[Columna4]]</f>
        <v>192119.83559999999</v>
      </c>
      <c r="G181" s="36">
        <f>+Tabla14[[#This Row],[PRECIO  INSTALADOR
( CON  IVA)]]/0.7</f>
        <v>325133.5</v>
      </c>
      <c r="H181" s="35">
        <f>+Tabla14[[#This Row],[PRECIO SUGERIDO INSTALADOR2]]*5%</f>
        <v>11379.672500000001</v>
      </c>
      <c r="I181" s="29">
        <f t="shared" si="16"/>
        <v>46.926484536082469</v>
      </c>
      <c r="J181" s="29">
        <f t="shared" si="17"/>
        <v>40.012461855670104</v>
      </c>
      <c r="K181" s="34">
        <f t="shared" si="18"/>
        <v>39.612337237113401</v>
      </c>
      <c r="L181" s="34">
        <f t="shared" si="19"/>
        <v>39.612337237113401</v>
      </c>
      <c r="M181" s="34">
        <f t="shared" si="20"/>
        <v>192119.83559999999</v>
      </c>
      <c r="N181" s="33">
        <f t="shared" si="21"/>
        <v>1940.6044000000002</v>
      </c>
      <c r="O181" s="4">
        <f t="shared" si="22"/>
        <v>40.012461855670104</v>
      </c>
      <c r="P181" s="32">
        <f>Tabla14[[#This Row],[ORO SIN IVA]]*1.19</f>
        <v>194060.44</v>
      </c>
      <c r="Q181" s="31">
        <f t="shared" si="23"/>
        <v>46.926484536082469</v>
      </c>
      <c r="R181" s="45">
        <f>Tabla14[[#This Row],[INSTALLER SIN IVA]]*1.19</f>
        <v>227593.44999999998</v>
      </c>
      <c r="S181" s="39">
        <v>163076</v>
      </c>
      <c r="T181" s="4">
        <v>191255</v>
      </c>
    </row>
    <row r="182" spans="1:20" ht="27" x14ac:dyDescent="0.25">
      <c r="A182" s="38" t="s">
        <v>63</v>
      </c>
      <c r="B182" s="37" t="s">
        <v>62</v>
      </c>
      <c r="C182" s="36">
        <f>+Tabla14[[#This Row],[PRECIO SUGERIDO INSTALADOR2]]</f>
        <v>204020.74</v>
      </c>
      <c r="D182" s="36">
        <f>+Tabla14[[#This Row],[PRECIO  INSTALADOR
( CON  IVA)]]-Tabla14[[#This Row],[Columna1]]</f>
        <v>193819.70299999998</v>
      </c>
      <c r="E182" s="36">
        <f>+Tabla14[[#This Row],[DPP ORO2]]</f>
        <v>173973.24</v>
      </c>
      <c r="F182" s="36">
        <f>+Tabla14[[#This Row],[Columna4]]</f>
        <v>172233.50759999998</v>
      </c>
      <c r="G182" s="36">
        <f>+Tabla14[[#This Row],[PRECIO  INSTALADOR
( CON  IVA)]]/0.7</f>
        <v>291458.2</v>
      </c>
      <c r="H182" s="35">
        <f>+Tabla14[[#This Row],[PRECIO SUGERIDO INSTALADOR2]]*5%</f>
        <v>10201.037</v>
      </c>
      <c r="I182" s="29">
        <f t="shared" si="16"/>
        <v>42.066131958762888</v>
      </c>
      <c r="J182" s="29">
        <f t="shared" si="17"/>
        <v>35.870771134020615</v>
      </c>
      <c r="K182" s="34">
        <f t="shared" si="18"/>
        <v>35.512063422680406</v>
      </c>
      <c r="L182" s="34">
        <f t="shared" si="19"/>
        <v>35.512063422680406</v>
      </c>
      <c r="M182" s="34">
        <f t="shared" si="20"/>
        <v>172233.50759999998</v>
      </c>
      <c r="N182" s="33">
        <f t="shared" si="21"/>
        <v>1739.7323999999999</v>
      </c>
      <c r="O182" s="4">
        <f t="shared" si="22"/>
        <v>35.870771134020615</v>
      </c>
      <c r="P182" s="32">
        <f>Tabla14[[#This Row],[ORO SIN IVA]]*1.19</f>
        <v>173973.24</v>
      </c>
      <c r="Q182" s="31">
        <f t="shared" si="23"/>
        <v>42.066131958762888</v>
      </c>
      <c r="R182" s="45">
        <f>Tabla14[[#This Row],[INSTALLER SIN IVA]]*1.19</f>
        <v>204020.74</v>
      </c>
      <c r="S182" s="39">
        <v>146196</v>
      </c>
      <c r="T182" s="4">
        <v>171446</v>
      </c>
    </row>
    <row r="183" spans="1:20" ht="27" x14ac:dyDescent="0.25">
      <c r="A183" s="47" t="s">
        <v>61</v>
      </c>
      <c r="B183" s="50" t="s">
        <v>60</v>
      </c>
      <c r="C183" s="36">
        <f>+Tabla14[[#This Row],[PRECIO SUGERIDO INSTALADOR2]]</f>
        <v>128322.45999999999</v>
      </c>
      <c r="D183" s="36">
        <f>+Tabla14[[#This Row],[PRECIO  INSTALADOR
( CON  IVA)]]-Tabla14[[#This Row],[Columna1]]</f>
        <v>121906.337</v>
      </c>
      <c r="E183" s="36">
        <f>+Tabla14[[#This Row],[DPP ORO2]]</f>
        <v>109397.89</v>
      </c>
      <c r="F183" s="36">
        <f>+Tabla14[[#This Row],[Columna4]]</f>
        <v>108303.9111</v>
      </c>
      <c r="G183" s="36">
        <f>+Tabla14[[#This Row],[PRECIO  INSTALADOR
( CON  IVA)]]/0.7</f>
        <v>183317.8</v>
      </c>
      <c r="H183" s="35">
        <f>+Tabla14[[#This Row],[PRECIO SUGERIDO INSTALADOR2]]*5%</f>
        <v>6416.1229999999996</v>
      </c>
      <c r="I183" s="29">
        <f t="shared" si="16"/>
        <v>26.458239175257731</v>
      </c>
      <c r="J183" s="29">
        <f t="shared" si="17"/>
        <v>22.556265979381443</v>
      </c>
      <c r="K183" s="34">
        <f t="shared" si="18"/>
        <v>22.330703319587627</v>
      </c>
      <c r="L183" s="34">
        <f t="shared" si="19"/>
        <v>22.330703319587627</v>
      </c>
      <c r="M183" s="34">
        <f t="shared" si="20"/>
        <v>108303.9111</v>
      </c>
      <c r="N183" s="33">
        <f t="shared" si="21"/>
        <v>1093.9789000000001</v>
      </c>
      <c r="O183" s="4">
        <f t="shared" si="22"/>
        <v>22.556265979381443</v>
      </c>
      <c r="P183" s="32">
        <f>Tabla14[[#This Row],[ORO SIN IVA]]*1.19</f>
        <v>109397.89</v>
      </c>
      <c r="Q183" s="31">
        <f t="shared" si="23"/>
        <v>26.458239175257731</v>
      </c>
      <c r="R183" s="45">
        <f>Tabla14[[#This Row],[INSTALLER SIN IVA]]*1.19</f>
        <v>128322.45999999999</v>
      </c>
      <c r="S183" s="39">
        <v>91931</v>
      </c>
      <c r="T183" s="4">
        <v>107834</v>
      </c>
    </row>
    <row r="184" spans="1:20" ht="27" x14ac:dyDescent="0.25">
      <c r="A184" s="38" t="s">
        <v>59</v>
      </c>
      <c r="B184" s="37" t="s">
        <v>58</v>
      </c>
      <c r="C184" s="36">
        <f>+Tabla14[[#This Row],[PRECIO SUGERIDO INSTALADOR2]]</f>
        <v>139942.81</v>
      </c>
      <c r="D184" s="36">
        <f>+Tabla14[[#This Row],[PRECIO  INSTALADOR
( CON  IVA)]]-Tabla14[[#This Row],[Columna1]]</f>
        <v>132945.66949999999</v>
      </c>
      <c r="E184" s="36">
        <f>+Tabla14[[#This Row],[DPP ORO2]]</f>
        <v>119302.26</v>
      </c>
      <c r="F184" s="36">
        <f>+Tabla14[[#This Row],[Columna4]]</f>
        <v>118109.2374</v>
      </c>
      <c r="G184" s="36">
        <f>+Tabla14[[#This Row],[PRECIO  INSTALADOR
( CON  IVA)]]/0.7</f>
        <v>199918.30000000002</v>
      </c>
      <c r="H184" s="35">
        <f>+Tabla14[[#This Row],[PRECIO SUGERIDO INSTALADOR2]]*5%</f>
        <v>6997.1405000000004</v>
      </c>
      <c r="I184" s="29">
        <f t="shared" si="16"/>
        <v>28.854187628865979</v>
      </c>
      <c r="J184" s="29">
        <f t="shared" si="17"/>
        <v>24.59840412371134</v>
      </c>
      <c r="K184" s="34">
        <f t="shared" si="18"/>
        <v>24.352420082474225</v>
      </c>
      <c r="L184" s="34">
        <f t="shared" si="19"/>
        <v>24.352420082474225</v>
      </c>
      <c r="M184" s="34">
        <f t="shared" si="20"/>
        <v>118109.2374</v>
      </c>
      <c r="N184" s="33">
        <f t="shared" si="21"/>
        <v>1193.0226</v>
      </c>
      <c r="O184" s="4">
        <f t="shared" si="22"/>
        <v>24.59840412371134</v>
      </c>
      <c r="P184" s="32">
        <f>Tabla14[[#This Row],[ORO SIN IVA]]*1.19</f>
        <v>119302.26</v>
      </c>
      <c r="Q184" s="31">
        <f t="shared" si="23"/>
        <v>28.854187628865979</v>
      </c>
      <c r="R184" s="45">
        <f>Tabla14[[#This Row],[INSTALLER SIN IVA]]*1.19</f>
        <v>139942.81</v>
      </c>
      <c r="S184" s="39">
        <v>100254</v>
      </c>
      <c r="T184" s="4">
        <v>117599</v>
      </c>
    </row>
    <row r="185" spans="1:20" ht="40.5" x14ac:dyDescent="0.25">
      <c r="A185" s="38" t="s">
        <v>57</v>
      </c>
      <c r="B185" s="37" t="s">
        <v>56</v>
      </c>
      <c r="C185" s="36">
        <f>+Tabla14[[#This Row],[PRECIO SUGERIDO INSTALADOR2]]</f>
        <v>141325.59</v>
      </c>
      <c r="D185" s="36">
        <f>+Tabla14[[#This Row],[PRECIO  INSTALADOR
( CON  IVA)]]-Tabla14[[#This Row],[Columna1]]</f>
        <v>134259.31049999999</v>
      </c>
      <c r="E185" s="36">
        <f>+Tabla14[[#This Row],[DPP ORO2]]</f>
        <v>120464.89</v>
      </c>
      <c r="F185" s="36">
        <f>+Tabla14[[#This Row],[Columna4]]</f>
        <v>119260.2411</v>
      </c>
      <c r="G185" s="36">
        <f>+Tabla14[[#This Row],[PRECIO  INSTALADOR
( CON  IVA)]]/0.7</f>
        <v>201893.7</v>
      </c>
      <c r="H185" s="35">
        <f>+Tabla14[[#This Row],[PRECIO SUGERIDO INSTALADOR2]]*5%</f>
        <v>7066.2795000000006</v>
      </c>
      <c r="I185" s="29">
        <f t="shared" si="16"/>
        <v>29.139296907216494</v>
      </c>
      <c r="J185" s="29">
        <f t="shared" si="17"/>
        <v>24.838121649484535</v>
      </c>
      <c r="K185" s="34">
        <f t="shared" si="18"/>
        <v>24.589740432989689</v>
      </c>
      <c r="L185" s="34">
        <f t="shared" si="19"/>
        <v>24.589740432989689</v>
      </c>
      <c r="M185" s="34">
        <f t="shared" si="20"/>
        <v>119260.2411</v>
      </c>
      <c r="N185" s="33">
        <f t="shared" si="21"/>
        <v>1204.6488999999999</v>
      </c>
      <c r="O185" s="4">
        <f t="shared" si="22"/>
        <v>24.838121649484535</v>
      </c>
      <c r="P185" s="32">
        <f>Tabla14[[#This Row],[ORO SIN IVA]]*1.19</f>
        <v>120464.89</v>
      </c>
      <c r="Q185" s="31">
        <f t="shared" si="23"/>
        <v>29.139296907216494</v>
      </c>
      <c r="R185" s="45">
        <f>Tabla14[[#This Row],[INSTALLER SIN IVA]]*1.19</f>
        <v>141325.59</v>
      </c>
      <c r="S185" s="39">
        <v>101231</v>
      </c>
      <c r="T185" s="4">
        <v>118761</v>
      </c>
    </row>
    <row r="186" spans="1:20" ht="15" x14ac:dyDescent="0.25">
      <c r="A186" s="38" t="s">
        <v>55</v>
      </c>
      <c r="B186" s="37" t="s">
        <v>54</v>
      </c>
      <c r="C186" s="36">
        <f>+Tabla14[[#This Row],[PRECIO SUGERIDO INSTALADOR2]]</f>
        <v>149128.41999999998</v>
      </c>
      <c r="D186" s="36">
        <f>+Tabla14[[#This Row],[PRECIO  INSTALADOR
( CON  IVA)]]-Tabla14[[#This Row],[Columna1]]</f>
        <v>141671.99899999998</v>
      </c>
      <c r="E186" s="36">
        <f>+Tabla14[[#This Row],[DPP ORO2]]</f>
        <v>127105.09</v>
      </c>
      <c r="F186" s="36">
        <f>+Tabla14[[#This Row],[Columna4]]</f>
        <v>125834.03909999999</v>
      </c>
      <c r="G186" s="36">
        <f>+Tabla14[[#This Row],[PRECIO  INSTALADOR
( CON  IVA)]]/0.7</f>
        <v>213040.59999999998</v>
      </c>
      <c r="H186" s="35">
        <f>+Tabla14[[#This Row],[PRECIO SUGERIDO INSTALADOR2]]*5%</f>
        <v>7456.4209999999994</v>
      </c>
      <c r="I186" s="29">
        <f t="shared" si="16"/>
        <v>30.748127835051545</v>
      </c>
      <c r="J186" s="29">
        <f t="shared" si="17"/>
        <v>26.207235051546391</v>
      </c>
      <c r="K186" s="34">
        <f t="shared" si="18"/>
        <v>25.945162701030927</v>
      </c>
      <c r="L186" s="34">
        <f t="shared" si="19"/>
        <v>25.945162701030927</v>
      </c>
      <c r="M186" s="34">
        <f t="shared" si="20"/>
        <v>125834.03909999999</v>
      </c>
      <c r="N186" s="33">
        <f t="shared" si="21"/>
        <v>1271.0509</v>
      </c>
      <c r="O186" s="4">
        <f t="shared" si="22"/>
        <v>26.207235051546391</v>
      </c>
      <c r="P186" s="32">
        <f>Tabla14[[#This Row],[ORO SIN IVA]]*1.19</f>
        <v>127105.09</v>
      </c>
      <c r="Q186" s="31">
        <f t="shared" si="23"/>
        <v>30.748127835051545</v>
      </c>
      <c r="R186" s="45">
        <f>Tabla14[[#This Row],[INSTALLER SIN IVA]]*1.19</f>
        <v>149128.41999999998</v>
      </c>
      <c r="S186" s="39">
        <v>106811</v>
      </c>
      <c r="T186" s="4">
        <v>125318</v>
      </c>
    </row>
    <row r="187" spans="1:20" ht="27" x14ac:dyDescent="0.25">
      <c r="A187" s="38" t="s">
        <v>53</v>
      </c>
      <c r="B187" s="37" t="s">
        <v>52</v>
      </c>
      <c r="C187" s="36">
        <f>+Tabla14[[#This Row],[PRECIO SUGERIDO INSTALADOR2]]</f>
        <v>156543.31</v>
      </c>
      <c r="D187" s="36">
        <f>+Tabla14[[#This Row],[PRECIO  INSTALADOR
( CON  IVA)]]-Tabla14[[#This Row],[Columna1]]</f>
        <v>148716.14449999999</v>
      </c>
      <c r="E187" s="36">
        <f>+Tabla14[[#This Row],[DPP ORO2]]</f>
        <v>133468.01999999999</v>
      </c>
      <c r="F187" s="36">
        <f>+Tabla14[[#This Row],[Columna4]]</f>
        <v>132133.33979999999</v>
      </c>
      <c r="G187" s="36">
        <f>+Tabla14[[#This Row],[PRECIO  INSTALADOR
( CON  IVA)]]/0.7</f>
        <v>223633.30000000002</v>
      </c>
      <c r="H187" s="35">
        <f>+Tabla14[[#This Row],[PRECIO SUGERIDO INSTALADOR2]]*5%</f>
        <v>7827.1655000000001</v>
      </c>
      <c r="I187" s="29">
        <f t="shared" si="16"/>
        <v>32.27697113402062</v>
      </c>
      <c r="J187" s="29">
        <f t="shared" si="17"/>
        <v>27.519179381443298</v>
      </c>
      <c r="K187" s="34">
        <f t="shared" si="18"/>
        <v>27.243987587628862</v>
      </c>
      <c r="L187" s="34">
        <f t="shared" si="19"/>
        <v>27.243987587628862</v>
      </c>
      <c r="M187" s="34">
        <f t="shared" si="20"/>
        <v>132133.33979999999</v>
      </c>
      <c r="N187" s="33">
        <f t="shared" si="21"/>
        <v>1334.6802</v>
      </c>
      <c r="O187" s="4">
        <f t="shared" si="22"/>
        <v>27.519179381443298</v>
      </c>
      <c r="P187" s="32">
        <f>Tabla14[[#This Row],[ORO SIN IVA]]*1.19</f>
        <v>133468.01999999999</v>
      </c>
      <c r="Q187" s="31">
        <f t="shared" si="23"/>
        <v>32.27697113402062</v>
      </c>
      <c r="R187" s="45">
        <f>Tabla14[[#This Row],[INSTALLER SIN IVA]]*1.19</f>
        <v>156543.31</v>
      </c>
      <c r="S187" s="39">
        <v>112158</v>
      </c>
      <c r="T187" s="4">
        <v>131549</v>
      </c>
    </row>
    <row r="188" spans="1:20" ht="27" x14ac:dyDescent="0.25">
      <c r="A188" s="38" t="s">
        <v>51</v>
      </c>
      <c r="B188" s="37" t="s">
        <v>50</v>
      </c>
      <c r="C188" s="36">
        <f>+Tabla14[[#This Row],[PRECIO SUGERIDO INSTALADOR2]]</f>
        <v>223110.72</v>
      </c>
      <c r="D188" s="36">
        <f>+Tabla14[[#This Row],[PRECIO  INSTALADOR
( CON  IVA)]]-Tabla14[[#This Row],[Columna1]]</f>
        <v>211955.18400000001</v>
      </c>
      <c r="E188" s="36">
        <f>+Tabla14[[#This Row],[DPP ORO2]]</f>
        <v>190241.72999999998</v>
      </c>
      <c r="F188" s="36">
        <f>+Tabla14[[#This Row],[Columna4]]</f>
        <v>188339.31269999998</v>
      </c>
      <c r="G188" s="36">
        <f>+Tabla14[[#This Row],[PRECIO  INSTALADOR
( CON  IVA)]]/0.7</f>
        <v>318729.60000000003</v>
      </c>
      <c r="H188" s="35">
        <f>+Tabla14[[#This Row],[PRECIO SUGERIDO INSTALADOR2]]*5%</f>
        <v>11155.536</v>
      </c>
      <c r="I188" s="29">
        <f t="shared" si="16"/>
        <v>46.002210309278354</v>
      </c>
      <c r="J188" s="29">
        <f t="shared" si="17"/>
        <v>39.225098969072164</v>
      </c>
      <c r="K188" s="34">
        <f t="shared" si="18"/>
        <v>38.832847979381441</v>
      </c>
      <c r="L188" s="34">
        <f t="shared" si="19"/>
        <v>38.832847979381441</v>
      </c>
      <c r="M188" s="34">
        <f t="shared" si="20"/>
        <v>188339.31269999998</v>
      </c>
      <c r="N188" s="33">
        <f t="shared" si="21"/>
        <v>1902.4172999999998</v>
      </c>
      <c r="O188" s="4">
        <f t="shared" si="22"/>
        <v>39.225098969072164</v>
      </c>
      <c r="P188" s="32">
        <f>Tabla14[[#This Row],[ORO SIN IVA]]*1.19</f>
        <v>190241.72999999998</v>
      </c>
      <c r="Q188" s="31">
        <f t="shared" si="23"/>
        <v>46.002210309278354</v>
      </c>
      <c r="R188" s="45">
        <f>Tabla14[[#This Row],[INSTALLER SIN IVA]]*1.19</f>
        <v>223110.72</v>
      </c>
      <c r="S188" s="49">
        <v>159867</v>
      </c>
      <c r="T188" s="4">
        <v>187488</v>
      </c>
    </row>
    <row r="189" spans="1:20" ht="27" x14ac:dyDescent="0.25">
      <c r="A189" s="38" t="s">
        <v>49</v>
      </c>
      <c r="B189" s="37" t="s">
        <v>48</v>
      </c>
      <c r="C189" s="36">
        <f>+Tabla14[[#This Row],[PRECIO SUGERIDO INSTALADOR2]]</f>
        <v>238493.84999999998</v>
      </c>
      <c r="D189" s="36">
        <f>+Tabla14[[#This Row],[PRECIO  INSTALADOR
( CON  IVA)]]-Tabla14[[#This Row],[Columna1]]</f>
        <v>226569.15749999997</v>
      </c>
      <c r="E189" s="36">
        <f>+Tabla14[[#This Row],[DPP ORO2]]</f>
        <v>203300.78999999998</v>
      </c>
      <c r="F189" s="36">
        <f>+Tabla14[[#This Row],[Columna4]]</f>
        <v>201267.78209999998</v>
      </c>
      <c r="G189" s="36">
        <f>+Tabla14[[#This Row],[PRECIO  INSTALADOR
( CON  IVA)]]/0.7</f>
        <v>340705.5</v>
      </c>
      <c r="H189" s="35">
        <f>+Tabla14[[#This Row],[PRECIO SUGERIDO INSTALADOR2]]*5%</f>
        <v>11924.692499999999</v>
      </c>
      <c r="I189" s="29">
        <f t="shared" si="16"/>
        <v>49.173989690721648</v>
      </c>
      <c r="J189" s="29">
        <f t="shared" si="17"/>
        <v>41.917688659793811</v>
      </c>
      <c r="K189" s="34">
        <f t="shared" si="18"/>
        <v>41.498511773195872</v>
      </c>
      <c r="L189" s="34">
        <f t="shared" si="19"/>
        <v>41.498511773195872</v>
      </c>
      <c r="M189" s="34">
        <f t="shared" si="20"/>
        <v>201267.78209999998</v>
      </c>
      <c r="N189" s="33">
        <f t="shared" si="21"/>
        <v>2033.0078999999998</v>
      </c>
      <c r="O189" s="4">
        <f t="shared" si="22"/>
        <v>41.917688659793811</v>
      </c>
      <c r="P189" s="32">
        <f>Tabla14[[#This Row],[ORO SIN IVA]]*1.19</f>
        <v>203300.78999999998</v>
      </c>
      <c r="Q189" s="31">
        <f t="shared" si="23"/>
        <v>49.173989690721648</v>
      </c>
      <c r="R189" s="45">
        <f>Tabla14[[#This Row],[INSTALLER SIN IVA]]*1.19</f>
        <v>238493.84999999998</v>
      </c>
      <c r="S189" s="39">
        <v>170841</v>
      </c>
      <c r="T189" s="4">
        <v>200415</v>
      </c>
    </row>
    <row r="190" spans="1:20" ht="27" x14ac:dyDescent="0.25">
      <c r="A190" s="38" t="s">
        <v>47</v>
      </c>
      <c r="B190" s="37" t="s">
        <v>46</v>
      </c>
      <c r="C190" s="36">
        <f>+Tabla14[[#This Row],[PRECIO SUGERIDO INSTALADOR2]]</f>
        <v>238493.84999999998</v>
      </c>
      <c r="D190" s="36">
        <f>+Tabla14[[#This Row],[PRECIO  INSTALADOR
( CON  IVA)]]-Tabla14[[#This Row],[Columna1]]</f>
        <v>226569.15749999997</v>
      </c>
      <c r="E190" s="36">
        <f>+Tabla14[[#This Row],[DPP ORO2]]</f>
        <v>203300.78999999998</v>
      </c>
      <c r="F190" s="36">
        <f>+Tabla14[[#This Row],[Columna4]]</f>
        <v>201267.78209999998</v>
      </c>
      <c r="G190" s="36">
        <f>+Tabla14[[#This Row],[PRECIO  INSTALADOR
( CON  IVA)]]/0.7</f>
        <v>340705.5</v>
      </c>
      <c r="H190" s="35">
        <f>+Tabla14[[#This Row],[PRECIO SUGERIDO INSTALADOR2]]*5%</f>
        <v>11924.692499999999</v>
      </c>
      <c r="I190" s="29">
        <f t="shared" si="16"/>
        <v>49.173989690721648</v>
      </c>
      <c r="J190" s="29">
        <f t="shared" si="17"/>
        <v>41.917688659793811</v>
      </c>
      <c r="K190" s="34">
        <f t="shared" si="18"/>
        <v>41.498511773195872</v>
      </c>
      <c r="L190" s="34">
        <f t="shared" si="19"/>
        <v>41.498511773195872</v>
      </c>
      <c r="M190" s="34">
        <f t="shared" si="20"/>
        <v>201267.78209999998</v>
      </c>
      <c r="N190" s="33">
        <f t="shared" si="21"/>
        <v>2033.0078999999998</v>
      </c>
      <c r="O190" s="4">
        <f t="shared" si="22"/>
        <v>41.917688659793811</v>
      </c>
      <c r="P190" s="32">
        <f>Tabla14[[#This Row],[ORO SIN IVA]]*1.19</f>
        <v>203300.78999999998</v>
      </c>
      <c r="Q190" s="31">
        <f t="shared" si="23"/>
        <v>49.173989690721648</v>
      </c>
      <c r="R190" s="45">
        <f>Tabla14[[#This Row],[INSTALLER SIN IVA]]*1.19</f>
        <v>238493.84999999998</v>
      </c>
      <c r="S190" s="39">
        <v>170841</v>
      </c>
      <c r="T190" s="4">
        <v>200415</v>
      </c>
    </row>
    <row r="191" spans="1:20" ht="27" x14ac:dyDescent="0.25">
      <c r="A191" s="47" t="s">
        <v>45</v>
      </c>
      <c r="B191" s="46" t="s">
        <v>44</v>
      </c>
      <c r="C191" s="36">
        <f>+Tabla14[[#This Row],[PRECIO SUGERIDO INSTALADOR2]]</f>
        <v>180780.03999999998</v>
      </c>
      <c r="D191" s="36">
        <f>+Tabla14[[#This Row],[PRECIO  INSTALADOR
( CON  IVA)]]-Tabla14[[#This Row],[Columna1]]</f>
        <v>171741.03799999997</v>
      </c>
      <c r="E191" s="36">
        <f>+Tabla14[[#This Row],[DPP ORO2]]</f>
        <v>154163.31</v>
      </c>
      <c r="F191" s="36">
        <f>+Tabla14[[#This Row],[Columna4]]</f>
        <v>152621.67689999999</v>
      </c>
      <c r="G191" s="36">
        <f>+Tabla14[[#This Row],[PRECIO  INSTALADOR
( CON  IVA)]]/0.7</f>
        <v>258257.19999999998</v>
      </c>
      <c r="H191" s="35">
        <f>+Tabla14[[#This Row],[PRECIO SUGERIDO INSTALADOR2]]*5%</f>
        <v>9039.0019999999986</v>
      </c>
      <c r="I191" s="29">
        <f t="shared" si="16"/>
        <v>37.274235051546384</v>
      </c>
      <c r="J191" s="29">
        <f t="shared" si="17"/>
        <v>31.786249484536082</v>
      </c>
      <c r="K191" s="34">
        <f t="shared" si="18"/>
        <v>31.468386989690721</v>
      </c>
      <c r="L191" s="34">
        <f t="shared" si="19"/>
        <v>31.468386989690721</v>
      </c>
      <c r="M191" s="34">
        <f t="shared" si="20"/>
        <v>152621.67689999999</v>
      </c>
      <c r="N191" s="33">
        <f t="shared" si="21"/>
        <v>1541.6331</v>
      </c>
      <c r="O191" s="4">
        <f t="shared" si="22"/>
        <v>31.786249484536082</v>
      </c>
      <c r="P191" s="32">
        <f>Tabla14[[#This Row],[ORO SIN IVA]]*1.19</f>
        <v>154163.31</v>
      </c>
      <c r="Q191" s="31">
        <f t="shared" si="23"/>
        <v>37.274235051546384</v>
      </c>
      <c r="R191" s="45">
        <f>Tabla14[[#This Row],[INSTALLER SIN IVA]]*1.19</f>
        <v>180780.03999999998</v>
      </c>
      <c r="S191" s="39">
        <v>129549</v>
      </c>
      <c r="T191" s="4">
        <v>151916</v>
      </c>
    </row>
    <row r="192" spans="1:20" ht="27" x14ac:dyDescent="0.25">
      <c r="A192" s="47" t="s">
        <v>43</v>
      </c>
      <c r="B192" s="48" t="s">
        <v>42</v>
      </c>
      <c r="C192" s="36">
        <f>+Tabla14[[#This Row],[PRECIO SUGERIDO INSTALADOR2]]</f>
        <v>462932.61</v>
      </c>
      <c r="D192" s="36">
        <f>+Tabla14[[#This Row],[PRECIO  INSTALADOR
( CON  IVA)]]-Tabla14[[#This Row],[Columna1]]</f>
        <v>439785.97950000002</v>
      </c>
      <c r="E192" s="36">
        <f>+Tabla14[[#This Row],[DPP ORO2]]</f>
        <v>394649.22</v>
      </c>
      <c r="F192" s="36">
        <f>+Tabla14[[#This Row],[Columna4]]</f>
        <v>390702.72779999999</v>
      </c>
      <c r="G192" s="36">
        <f>+Tabla14[[#This Row],[PRECIO  INSTALADOR
( CON  IVA)]]/0.7</f>
        <v>661332.30000000005</v>
      </c>
      <c r="H192" s="35">
        <f>+Tabla14[[#This Row],[PRECIO SUGERIDO INSTALADOR2]]*5%</f>
        <v>23146.630499999999</v>
      </c>
      <c r="I192" s="29">
        <f t="shared" si="16"/>
        <v>95.450022680412374</v>
      </c>
      <c r="J192" s="29">
        <f t="shared" si="17"/>
        <v>81.370973195876289</v>
      </c>
      <c r="K192" s="34">
        <f t="shared" si="18"/>
        <v>80.557263463917522</v>
      </c>
      <c r="L192" s="34">
        <f t="shared" si="19"/>
        <v>80.557263463917522</v>
      </c>
      <c r="M192" s="34">
        <f t="shared" si="20"/>
        <v>390702.72779999999</v>
      </c>
      <c r="N192" s="33">
        <f t="shared" si="21"/>
        <v>3946.4921999999997</v>
      </c>
      <c r="O192" s="4">
        <f t="shared" si="22"/>
        <v>81.370973195876289</v>
      </c>
      <c r="P192" s="32">
        <f>Tabla14[[#This Row],[ORO SIN IVA]]*1.19</f>
        <v>394649.22</v>
      </c>
      <c r="Q192" s="31">
        <f t="shared" si="23"/>
        <v>95.450022680412374</v>
      </c>
      <c r="R192" s="45">
        <f>Tabla14[[#This Row],[INSTALLER SIN IVA]]*1.19</f>
        <v>462932.61</v>
      </c>
      <c r="S192" s="39">
        <v>331638</v>
      </c>
      <c r="T192" s="4">
        <v>389019</v>
      </c>
    </row>
    <row r="193" spans="1:20" ht="15" x14ac:dyDescent="0.25">
      <c r="A193" s="38" t="s">
        <v>41</v>
      </c>
      <c r="B193" s="37" t="s">
        <v>40</v>
      </c>
      <c r="C193" s="36">
        <f>+Tabla14[[#This Row],[PRECIO SUGERIDO INSTALADOR2]]</f>
        <v>176297.31</v>
      </c>
      <c r="D193" s="36">
        <f>+Tabla14[[#This Row],[PRECIO  INSTALADOR
( CON  IVA)]]-Tabla14[[#This Row],[Columna1]]</f>
        <v>167482.44449999998</v>
      </c>
      <c r="E193" s="36">
        <f>+Tabla14[[#This Row],[DPP ORO2]]</f>
        <v>160914.18</v>
      </c>
      <c r="F193" s="36">
        <f>+Tabla14[[#This Row],[Columna4]]</f>
        <v>159305.03819999998</v>
      </c>
      <c r="G193" s="36">
        <f>+Tabla14[[#This Row],[PRECIO  INSTALADOR
( CON  IVA)]]/0.7</f>
        <v>251853.30000000002</v>
      </c>
      <c r="H193" s="35">
        <f>+Tabla14[[#This Row],[PRECIO SUGERIDO INSTALADOR2]]*5%</f>
        <v>8814.8654999999999</v>
      </c>
      <c r="I193" s="29">
        <f t="shared" si="16"/>
        <v>36.349960824742269</v>
      </c>
      <c r="J193" s="29">
        <f t="shared" si="17"/>
        <v>33.178181443298968</v>
      </c>
      <c r="K193" s="34">
        <f t="shared" si="18"/>
        <v>32.846399628865974</v>
      </c>
      <c r="L193" s="34">
        <f t="shared" si="19"/>
        <v>32.846399628865974</v>
      </c>
      <c r="M193" s="34">
        <f t="shared" si="20"/>
        <v>159305.03819999998</v>
      </c>
      <c r="N193" s="33">
        <f t="shared" si="21"/>
        <v>1609.1417999999999</v>
      </c>
      <c r="O193" s="4">
        <f t="shared" si="22"/>
        <v>33.178181443298968</v>
      </c>
      <c r="P193" s="32">
        <f>Tabla14[[#This Row],[ORO SIN IVA]]*1.19</f>
        <v>160914.18</v>
      </c>
      <c r="Q193" s="31">
        <f t="shared" si="23"/>
        <v>36.349960824742269</v>
      </c>
      <c r="R193" s="45">
        <f>Tabla14[[#This Row],[INSTALLER SIN IVA]]*1.19</f>
        <v>176297.31</v>
      </c>
      <c r="S193" s="39">
        <v>135222</v>
      </c>
      <c r="T193" s="4">
        <v>148149</v>
      </c>
    </row>
    <row r="194" spans="1:20" ht="27" x14ac:dyDescent="0.25">
      <c r="A194" s="38" t="s">
        <v>39</v>
      </c>
      <c r="B194" s="37" t="s">
        <v>38</v>
      </c>
      <c r="C194" s="36">
        <f>+Tabla14[[#This Row],[PRECIO SUGERIDO INSTALADOR2]]</f>
        <v>557666.13</v>
      </c>
      <c r="D194" s="36">
        <f>+Tabla14[[#This Row],[PRECIO  INSTALADOR
( CON  IVA)]]-Tabla14[[#This Row],[Columna1]]</f>
        <v>529782.82350000006</v>
      </c>
      <c r="E194" s="36">
        <f>+Tabla14[[#This Row],[DPP ORO2]]</f>
        <v>475438.32</v>
      </c>
      <c r="F194" s="36">
        <f>+Tabla14[[#This Row],[Columna4]]</f>
        <v>470683.93680000002</v>
      </c>
      <c r="G194" s="36">
        <f>+Tabla14[[#This Row],[PRECIO  INSTALADOR
( CON  IVA)]]/0.7</f>
        <v>796665.9</v>
      </c>
      <c r="H194" s="35">
        <f>+Tabla14[[#This Row],[PRECIO SUGERIDO INSTALADOR2]]*5%</f>
        <v>27883.306500000002</v>
      </c>
      <c r="I194" s="29">
        <f t="shared" si="16"/>
        <v>114.98270721649484</v>
      </c>
      <c r="J194" s="29">
        <f t="shared" si="17"/>
        <v>98.028519587628864</v>
      </c>
      <c r="K194" s="34">
        <f t="shared" si="18"/>
        <v>97.048234391752587</v>
      </c>
      <c r="L194" s="34">
        <f t="shared" si="19"/>
        <v>97.048234391752587</v>
      </c>
      <c r="M194" s="34">
        <f t="shared" si="20"/>
        <v>470683.93680000002</v>
      </c>
      <c r="N194" s="33">
        <f t="shared" si="21"/>
        <v>4754.3832000000002</v>
      </c>
      <c r="O194" s="4">
        <f t="shared" si="22"/>
        <v>98.028519587628864</v>
      </c>
      <c r="P194" s="32">
        <f>Tabla14[[#This Row],[ORO SIN IVA]]*1.19</f>
        <v>475438.32</v>
      </c>
      <c r="Q194" s="31">
        <f t="shared" si="23"/>
        <v>114.98270721649484</v>
      </c>
      <c r="R194" s="45">
        <f>Tabla14[[#This Row],[INSTALLER SIN IVA]]*1.19</f>
        <v>557666.13</v>
      </c>
      <c r="S194" s="39">
        <v>399528</v>
      </c>
      <c r="T194" s="4">
        <v>468627</v>
      </c>
    </row>
    <row r="195" spans="1:20" ht="40.5" x14ac:dyDescent="0.25">
      <c r="A195" s="38" t="s">
        <v>37</v>
      </c>
      <c r="B195" s="37" t="s">
        <v>36</v>
      </c>
      <c r="C195" s="36">
        <f>+Tabla14[[#This Row],[PRECIO SUGERIDO INSTALADOR2]]</f>
        <v>468023.43</v>
      </c>
      <c r="D195" s="36">
        <f>+Tabla14[[#This Row],[PRECIO  INSTALADOR
( CON  IVA)]]-Tabla14[[#This Row],[Columna1]]</f>
        <v>444622.2585</v>
      </c>
      <c r="E195" s="36">
        <f>+Tabla14[[#This Row],[DPP ORO2]]</f>
        <v>399021.27999999997</v>
      </c>
      <c r="F195" s="36">
        <f>+Tabla14[[#This Row],[Columna4]]</f>
        <v>395031.06719999999</v>
      </c>
      <c r="G195" s="36">
        <f>+Tabla14[[#This Row],[PRECIO  INSTALADOR
( CON  IVA)]]/0.7</f>
        <v>668604.9</v>
      </c>
      <c r="H195" s="35">
        <f>+Tabla14[[#This Row],[PRECIO SUGERIDO INSTALADOR2]]*5%</f>
        <v>23401.1715</v>
      </c>
      <c r="I195" s="29">
        <f t="shared" ref="I195:I213" si="24">+Q195</f>
        <v>96.499676288659799</v>
      </c>
      <c r="J195" s="29">
        <f t="shared" ref="J195:J213" si="25">+O195</f>
        <v>82.272428865979379</v>
      </c>
      <c r="K195" s="34">
        <f t="shared" ref="K195:K213" si="26">+L195</f>
        <v>81.449704577319579</v>
      </c>
      <c r="L195" s="34">
        <f t="shared" ref="L195:L213" si="27">+M195/$P$1</f>
        <v>81.449704577319579</v>
      </c>
      <c r="M195" s="34">
        <f t="shared" ref="M195:M213" si="28">+P195-N195</f>
        <v>395031.06719999999</v>
      </c>
      <c r="N195" s="33">
        <f t="shared" ref="N195:N213" si="29">+P195*1%</f>
        <v>3990.2127999999998</v>
      </c>
      <c r="O195" s="4">
        <f t="shared" ref="O195:O213" si="30">+P195/$P$1</f>
        <v>82.272428865979379</v>
      </c>
      <c r="P195" s="32">
        <f>Tabla14[[#This Row],[ORO SIN IVA]]*1.19</f>
        <v>399021.27999999997</v>
      </c>
      <c r="Q195" s="31">
        <f t="shared" ref="Q195:Q213" si="31">+R195/$P$1</f>
        <v>96.499676288659799</v>
      </c>
      <c r="R195" s="45">
        <f>Tabla14[[#This Row],[INSTALLER SIN IVA]]*1.19</f>
        <v>468023.43</v>
      </c>
      <c r="S195" s="39">
        <v>335312</v>
      </c>
      <c r="T195" s="4">
        <v>393297</v>
      </c>
    </row>
    <row r="196" spans="1:20" ht="81" x14ac:dyDescent="0.25">
      <c r="A196" s="38" t="s">
        <v>35</v>
      </c>
      <c r="B196" s="37" t="s">
        <v>34</v>
      </c>
      <c r="C196" s="36">
        <f>+Tabla14[[#This Row],[PRECIO SUGERIDO INSTALADOR2]]</f>
        <v>622685.35</v>
      </c>
      <c r="D196" s="36">
        <f>+Tabla14[[#This Row],[PRECIO  INSTALADOR
( CON  IVA)]]-Tabla14[[#This Row],[Columna1]]</f>
        <v>591551.08250000002</v>
      </c>
      <c r="E196" s="36">
        <f>+Tabla14[[#This Row],[DPP ORO2]]</f>
        <v>530829.25</v>
      </c>
      <c r="F196" s="36">
        <f>+Tabla14[[#This Row],[Columna4]]</f>
        <v>525520.95750000002</v>
      </c>
      <c r="G196" s="36">
        <f>+Tabla14[[#This Row],[PRECIO  INSTALADOR
( CON  IVA)]]/0.7</f>
        <v>889550.5</v>
      </c>
      <c r="H196" s="35">
        <f>+Tabla14[[#This Row],[PRECIO SUGERIDO INSTALADOR2]]*5%</f>
        <v>31134.267500000002</v>
      </c>
      <c r="I196" s="29">
        <f t="shared" si="24"/>
        <v>128.38873195876289</v>
      </c>
      <c r="J196" s="29">
        <f t="shared" si="25"/>
        <v>109.44932989690722</v>
      </c>
      <c r="K196" s="34">
        <f t="shared" si="26"/>
        <v>108.35483659793815</v>
      </c>
      <c r="L196" s="34">
        <f t="shared" si="27"/>
        <v>108.35483659793815</v>
      </c>
      <c r="M196" s="34">
        <f t="shared" si="28"/>
        <v>525520.95750000002</v>
      </c>
      <c r="N196" s="33">
        <f t="shared" si="29"/>
        <v>5308.2925000000005</v>
      </c>
      <c r="O196" s="4">
        <f t="shared" si="30"/>
        <v>109.44932989690722</v>
      </c>
      <c r="P196" s="32">
        <f>Tabla14[[#This Row],[ORO SIN IVA]]*1.19</f>
        <v>530829.25</v>
      </c>
      <c r="Q196" s="31">
        <f t="shared" si="31"/>
        <v>128.38873195876289</v>
      </c>
      <c r="R196" s="45">
        <f>Tabla14[[#This Row],[INSTALLER SIN IVA]]*1.19</f>
        <v>622685.35</v>
      </c>
      <c r="S196" s="39">
        <v>446075</v>
      </c>
      <c r="T196" s="4">
        <v>523265</v>
      </c>
    </row>
    <row r="197" spans="1:20" ht="108" x14ac:dyDescent="0.25">
      <c r="A197" s="38" t="s">
        <v>33</v>
      </c>
      <c r="B197" s="37" t="s">
        <v>32</v>
      </c>
      <c r="C197" s="36">
        <f>+Tabla14[[#This Row],[PRECIO SUGERIDO INSTALADOR2]]</f>
        <v>597064.65</v>
      </c>
      <c r="D197" s="36">
        <f>+Tabla14[[#This Row],[PRECIO  INSTALADOR
( CON  IVA)]]-Tabla14[[#This Row],[Columna1]]</f>
        <v>567211.41749999998</v>
      </c>
      <c r="E197" s="36">
        <f>+Tabla14[[#This Row],[DPP ORO2]]</f>
        <v>509027.25999999995</v>
      </c>
      <c r="F197" s="36">
        <f>+Tabla14[[#This Row],[Columna4]]</f>
        <v>503936.98739999993</v>
      </c>
      <c r="G197" s="36">
        <f>+Tabla14[[#This Row],[PRECIO  INSTALADOR
( CON  IVA)]]/0.7</f>
        <v>852949.50000000012</v>
      </c>
      <c r="H197" s="35">
        <f>+Tabla14[[#This Row],[PRECIO SUGERIDO INSTALADOR2]]*5%</f>
        <v>29853.232500000002</v>
      </c>
      <c r="I197" s="29">
        <f t="shared" si="24"/>
        <v>123.10611340206187</v>
      </c>
      <c r="J197" s="29">
        <f t="shared" si="25"/>
        <v>104.95407422680411</v>
      </c>
      <c r="K197" s="34">
        <f t="shared" si="26"/>
        <v>103.90453348453607</v>
      </c>
      <c r="L197" s="34">
        <f t="shared" si="27"/>
        <v>103.90453348453607</v>
      </c>
      <c r="M197" s="34">
        <f t="shared" si="28"/>
        <v>503936.98739999993</v>
      </c>
      <c r="N197" s="33">
        <f t="shared" si="29"/>
        <v>5090.2725999999993</v>
      </c>
      <c r="O197" s="4">
        <f t="shared" si="30"/>
        <v>104.95407422680411</v>
      </c>
      <c r="P197" s="32">
        <f>Tabla14[[#This Row],[ORO SIN IVA]]*1.19</f>
        <v>509027.25999999995</v>
      </c>
      <c r="Q197" s="31">
        <f t="shared" si="31"/>
        <v>123.10611340206187</v>
      </c>
      <c r="R197" s="45">
        <f>Tabla14[[#This Row],[INSTALLER SIN IVA]]*1.19</f>
        <v>597064.65</v>
      </c>
      <c r="S197" s="39">
        <v>427754</v>
      </c>
      <c r="T197" s="4">
        <v>501735</v>
      </c>
    </row>
    <row r="198" spans="1:20" ht="40.5" x14ac:dyDescent="0.25">
      <c r="A198" s="38" t="s">
        <v>31</v>
      </c>
      <c r="B198" s="37" t="s">
        <v>30</v>
      </c>
      <c r="C198" s="36">
        <f>+Tabla14[[#This Row],[PRECIO SUGERIDO INSTALADOR2]]</f>
        <v>495358.92</v>
      </c>
      <c r="D198" s="36">
        <f>+Tabla14[[#This Row],[PRECIO  INSTALADOR
( CON  IVA)]]-Tabla14[[#This Row],[Columna1]]</f>
        <v>470590.97399999999</v>
      </c>
      <c r="E198" s="36">
        <f>+Tabla14[[#This Row],[DPP ORO2]]</f>
        <v>422316.72</v>
      </c>
      <c r="F198" s="36">
        <f>+Tabla14[[#This Row],[Columna4]]</f>
        <v>418093.55279999995</v>
      </c>
      <c r="G198" s="36">
        <f>+Tabla14[[#This Row],[PRECIO  INSTALADOR
( CON  IVA)]]/0.7</f>
        <v>707655.6</v>
      </c>
      <c r="H198" s="35">
        <f>+Tabla14[[#This Row],[PRECIO SUGERIDO INSTALADOR2]]*5%</f>
        <v>24767.946</v>
      </c>
      <c r="I198" s="29">
        <f t="shared" si="24"/>
        <v>102.13585979381443</v>
      </c>
      <c r="J198" s="29">
        <f t="shared" si="25"/>
        <v>87.075612371134014</v>
      </c>
      <c r="K198" s="34">
        <f t="shared" si="26"/>
        <v>86.204856247422669</v>
      </c>
      <c r="L198" s="34">
        <f t="shared" si="27"/>
        <v>86.204856247422669</v>
      </c>
      <c r="M198" s="34">
        <f t="shared" si="28"/>
        <v>418093.55279999995</v>
      </c>
      <c r="N198" s="33">
        <f t="shared" si="29"/>
        <v>4223.1671999999999</v>
      </c>
      <c r="O198" s="4">
        <f t="shared" si="30"/>
        <v>87.075612371134014</v>
      </c>
      <c r="P198" s="32">
        <f>Tabla14[[#This Row],[ORO SIN IVA]]*1.19</f>
        <v>422316.72</v>
      </c>
      <c r="Q198" s="31">
        <f t="shared" si="31"/>
        <v>102.13585979381443</v>
      </c>
      <c r="R198" s="45">
        <f>Tabla14[[#This Row],[INSTALLER SIN IVA]]*1.19</f>
        <v>495358.92</v>
      </c>
      <c r="S198" s="39">
        <v>354888</v>
      </c>
      <c r="T198" s="4">
        <v>416268</v>
      </c>
    </row>
    <row r="199" spans="1:20" ht="15" x14ac:dyDescent="0.25">
      <c r="A199" s="38" t="s">
        <v>29</v>
      </c>
      <c r="B199" s="37" t="s">
        <v>28</v>
      </c>
      <c r="C199" s="36">
        <f>+Tabla14[[#This Row],[PRECIO SUGERIDO INSTALADOR2]]</f>
        <v>1421666.8199999998</v>
      </c>
      <c r="D199" s="36">
        <f>+Tabla14[[#This Row],[PRECIO  INSTALADOR
( CON  IVA)]]-Tabla14[[#This Row],[Columna1]]</f>
        <v>1350583.4789999998</v>
      </c>
      <c r="E199" s="36">
        <f>+Tabla14[[#This Row],[DPP ORO2]]</f>
        <v>1211947.17</v>
      </c>
      <c r="F199" s="36">
        <f>+Tabla14[[#This Row],[Columna4]]</f>
        <v>1199827.6982999998</v>
      </c>
      <c r="G199" s="36">
        <f>+Tabla14[[#This Row],[PRECIO  INSTALADOR
( CON  IVA)]]/0.7</f>
        <v>2030952.5999999999</v>
      </c>
      <c r="H199" s="35">
        <f>+Tabla14[[#This Row],[PRECIO SUGERIDO INSTALADOR2]]*5%</f>
        <v>71083.341</v>
      </c>
      <c r="I199" s="29">
        <f t="shared" si="24"/>
        <v>293.12717938144328</v>
      </c>
      <c r="J199" s="29">
        <f t="shared" si="25"/>
        <v>249.88601443298967</v>
      </c>
      <c r="K199" s="34">
        <f t="shared" si="26"/>
        <v>247.38715428865976</v>
      </c>
      <c r="L199" s="34">
        <f t="shared" si="27"/>
        <v>247.38715428865976</v>
      </c>
      <c r="M199" s="34">
        <f t="shared" si="28"/>
        <v>1199827.6982999998</v>
      </c>
      <c r="N199" s="33">
        <f t="shared" si="29"/>
        <v>12119.4717</v>
      </c>
      <c r="O199" s="4">
        <f t="shared" si="30"/>
        <v>249.88601443298967</v>
      </c>
      <c r="P199" s="32">
        <f>Tabla14[[#This Row],[ORO SIN IVA]]*1.19</f>
        <v>1211947.17</v>
      </c>
      <c r="Q199" s="31">
        <f t="shared" si="31"/>
        <v>293.12717938144328</v>
      </c>
      <c r="R199" s="45">
        <f>Tabla14[[#This Row],[INSTALLER SIN IVA]]*1.19</f>
        <v>1421666.8199999998</v>
      </c>
      <c r="S199" s="39">
        <v>1018443</v>
      </c>
      <c r="T199" s="4">
        <v>1194678</v>
      </c>
    </row>
    <row r="200" spans="1:20" ht="40.5" x14ac:dyDescent="0.25">
      <c r="A200" s="38" t="s">
        <v>27</v>
      </c>
      <c r="B200" s="37" t="s">
        <v>26</v>
      </c>
      <c r="C200" s="36">
        <f>+Tabla14[[#This Row],[PRECIO SUGERIDO INSTALADOR2]]</f>
        <v>673758.96</v>
      </c>
      <c r="D200" s="36">
        <f>+Tabla14[[#This Row],[PRECIO  INSTALADOR
( CON  IVA)]]-Tabla14[[#This Row],[Columna1]]</f>
        <v>640071.01199999999</v>
      </c>
      <c r="E200" s="36">
        <f>+Tabla14[[#This Row],[DPP ORO2]]</f>
        <v>574377.29999999993</v>
      </c>
      <c r="F200" s="36">
        <f>+Tabla14[[#This Row],[Columna4]]</f>
        <v>568633.52699999989</v>
      </c>
      <c r="G200" s="36">
        <f>+Tabla14[[#This Row],[PRECIO  INSTALADOR
( CON  IVA)]]/0.7</f>
        <v>962512.8</v>
      </c>
      <c r="H200" s="35">
        <f>+Tabla14[[#This Row],[PRECIO SUGERIDO INSTALADOR2]]*5%</f>
        <v>33687.947999999997</v>
      </c>
      <c r="I200" s="29">
        <f t="shared" si="24"/>
        <v>138.91937319587629</v>
      </c>
      <c r="J200" s="29">
        <f t="shared" si="25"/>
        <v>118.4283092783505</v>
      </c>
      <c r="K200" s="34">
        <f t="shared" si="26"/>
        <v>117.24402618556698</v>
      </c>
      <c r="L200" s="34">
        <f t="shared" si="27"/>
        <v>117.24402618556698</v>
      </c>
      <c r="M200" s="34">
        <f t="shared" si="28"/>
        <v>568633.52699999989</v>
      </c>
      <c r="N200" s="33">
        <f t="shared" si="29"/>
        <v>5743.7729999999992</v>
      </c>
      <c r="O200" s="4">
        <f t="shared" si="30"/>
        <v>118.4283092783505</v>
      </c>
      <c r="P200" s="32">
        <f>Tabla14[[#This Row],[ORO SIN IVA]]*1.19</f>
        <v>574377.29999999993</v>
      </c>
      <c r="Q200" s="31">
        <f t="shared" si="31"/>
        <v>138.91937319587629</v>
      </c>
      <c r="R200" s="45">
        <f>Tabla14[[#This Row],[INSTALLER SIN IVA]]*1.19</f>
        <v>673758.96</v>
      </c>
      <c r="S200" s="39">
        <v>482670</v>
      </c>
      <c r="T200" s="4">
        <v>566184</v>
      </c>
    </row>
    <row r="201" spans="1:20" ht="40.5" x14ac:dyDescent="0.25">
      <c r="A201" s="47" t="s">
        <v>25</v>
      </c>
      <c r="B201" s="46" t="s">
        <v>24</v>
      </c>
      <c r="C201" s="36">
        <f>+Tabla14[[#This Row],[PRECIO SUGERIDO INSTALADOR2]]</f>
        <v>686264.66999999993</v>
      </c>
      <c r="D201" s="36">
        <f>+Tabla14[[#This Row],[PRECIO  INSTALADOR
( CON  IVA)]]-Tabla14[[#This Row],[Columna1]]</f>
        <v>651951.43649999995</v>
      </c>
      <c r="E201" s="36">
        <f>+Tabla14[[#This Row],[DPP ORO2]]</f>
        <v>584946.88</v>
      </c>
      <c r="F201" s="36">
        <f>+Tabla14[[#This Row],[Columna4]]</f>
        <v>579097.41119999997</v>
      </c>
      <c r="G201" s="36">
        <f>+Tabla14[[#This Row],[PRECIO  INSTALADOR
( CON  IVA)]]/0.7</f>
        <v>980378.1</v>
      </c>
      <c r="H201" s="35">
        <f>+Tabla14[[#This Row],[PRECIO SUGERIDO INSTALADOR2]]*5%</f>
        <v>34313.233499999995</v>
      </c>
      <c r="I201" s="29">
        <f t="shared" si="24"/>
        <v>141.49787010309277</v>
      </c>
      <c r="J201" s="29">
        <f t="shared" si="25"/>
        <v>120.60760412371134</v>
      </c>
      <c r="K201" s="34">
        <f t="shared" si="26"/>
        <v>119.40152808247421</v>
      </c>
      <c r="L201" s="34">
        <f t="shared" si="27"/>
        <v>119.40152808247421</v>
      </c>
      <c r="M201" s="34">
        <f t="shared" si="28"/>
        <v>579097.41119999997</v>
      </c>
      <c r="N201" s="33">
        <f t="shared" si="29"/>
        <v>5849.4688000000006</v>
      </c>
      <c r="O201" s="4">
        <f t="shared" si="30"/>
        <v>120.60760412371134</v>
      </c>
      <c r="P201" s="32">
        <f>Tabla14[[#This Row],[ORO SIN IVA]]*1.19</f>
        <v>584946.88</v>
      </c>
      <c r="Q201" s="31">
        <f t="shared" si="31"/>
        <v>141.49787010309277</v>
      </c>
      <c r="R201" s="45">
        <f>Tabla14[[#This Row],[INSTALLER SIN IVA]]*1.19</f>
        <v>686264.66999999993</v>
      </c>
      <c r="S201" s="39">
        <v>491552</v>
      </c>
      <c r="T201" s="4">
        <v>576693</v>
      </c>
    </row>
    <row r="202" spans="1:20" ht="15" x14ac:dyDescent="0.25">
      <c r="A202" s="38" t="s">
        <v>23</v>
      </c>
      <c r="B202" s="37" t="s">
        <v>22</v>
      </c>
      <c r="C202" s="36">
        <f>+Tabla14[[#This Row],[PRECIO SUGERIDO INSTALADOR2]]</f>
        <v>946727.11</v>
      </c>
      <c r="D202" s="36">
        <f>+Tabla14[[#This Row],[PRECIO  INSTALADOR
( CON  IVA)]]-Tabla14[[#This Row],[Columna1]]</f>
        <v>899390.75450000004</v>
      </c>
      <c r="E202" s="36">
        <f>+Tabla14[[#This Row],[DPP ORO2]]</f>
        <v>807116.30999999994</v>
      </c>
      <c r="F202" s="36">
        <f>+Tabla14[[#This Row],[Columna4]]</f>
        <v>799045.14689999993</v>
      </c>
      <c r="G202" s="36">
        <f>+Tabla14[[#This Row],[PRECIO  INSTALADOR
( CON  IVA)]]/0.7</f>
        <v>1352467.3</v>
      </c>
      <c r="H202" s="35">
        <f>+Tabla14[[#This Row],[PRECIO SUGERIDO INSTALADOR2]]*5%</f>
        <v>47336.355500000005</v>
      </c>
      <c r="I202" s="29">
        <f t="shared" si="24"/>
        <v>195.20146597938145</v>
      </c>
      <c r="J202" s="29">
        <f t="shared" si="25"/>
        <v>166.41573402061854</v>
      </c>
      <c r="K202" s="34">
        <f t="shared" si="26"/>
        <v>164.75157668041237</v>
      </c>
      <c r="L202" s="34">
        <f t="shared" si="27"/>
        <v>164.75157668041237</v>
      </c>
      <c r="M202" s="34">
        <f t="shared" si="28"/>
        <v>799045.14689999993</v>
      </c>
      <c r="N202" s="33">
        <f t="shared" si="29"/>
        <v>8071.1630999999998</v>
      </c>
      <c r="O202" s="4">
        <f t="shared" si="30"/>
        <v>166.41573402061854</v>
      </c>
      <c r="P202" s="32">
        <f>Tabla14[[#This Row],[ORO SIN IVA]]*1.19</f>
        <v>807116.30999999994</v>
      </c>
      <c r="Q202" s="31">
        <f t="shared" si="31"/>
        <v>195.20146597938145</v>
      </c>
      <c r="R202" s="45">
        <f>Tabla14[[#This Row],[INSTALLER SIN IVA]]*1.19</f>
        <v>946727.11</v>
      </c>
      <c r="S202" s="39">
        <v>678249</v>
      </c>
      <c r="T202" s="4">
        <v>795569</v>
      </c>
    </row>
    <row r="203" spans="1:20" ht="27" x14ac:dyDescent="0.25">
      <c r="A203" s="38" t="s">
        <v>21</v>
      </c>
      <c r="B203" s="37" t="s">
        <v>20</v>
      </c>
      <c r="C203" s="36">
        <f>+Tabla14[[#This Row],[PRECIO SUGERIDO INSTALADOR2]]</f>
        <v>854981.67999999993</v>
      </c>
      <c r="D203" s="36">
        <f>+Tabla14[[#This Row],[PRECIO  INSTALADOR
( CON  IVA)]]-Tabla14[[#This Row],[Columna1]]</f>
        <v>812232.5959999999</v>
      </c>
      <c r="E203" s="36">
        <f>+Tabla14[[#This Row],[DPP ORO2]]</f>
        <v>728872.62</v>
      </c>
      <c r="F203" s="36">
        <f>+Tabla14[[#This Row],[Columna4]]</f>
        <v>721583.89379999996</v>
      </c>
      <c r="G203" s="36">
        <f>+Tabla14[[#This Row],[PRECIO  INSTALADOR
( CON  IVA)]]/0.7</f>
        <v>1221402.3999999999</v>
      </c>
      <c r="H203" s="35">
        <f>+Tabla14[[#This Row],[PRECIO SUGERIDO INSTALADOR2]]*5%</f>
        <v>42749.084000000003</v>
      </c>
      <c r="I203" s="29">
        <f t="shared" si="24"/>
        <v>176.28488247422678</v>
      </c>
      <c r="J203" s="29">
        <f t="shared" si="25"/>
        <v>150.28301443298969</v>
      </c>
      <c r="K203" s="34">
        <f t="shared" si="26"/>
        <v>148.7801842886598</v>
      </c>
      <c r="L203" s="34">
        <f t="shared" si="27"/>
        <v>148.7801842886598</v>
      </c>
      <c r="M203" s="34">
        <f t="shared" si="28"/>
        <v>721583.89379999996</v>
      </c>
      <c r="N203" s="33">
        <f t="shared" si="29"/>
        <v>7288.7262000000001</v>
      </c>
      <c r="O203" s="4">
        <f t="shared" si="30"/>
        <v>150.28301443298969</v>
      </c>
      <c r="P203" s="32">
        <f>Tabla14[[#This Row],[ORO SIN IVA]]*1.19</f>
        <v>728872.62</v>
      </c>
      <c r="Q203" s="31">
        <f t="shared" si="31"/>
        <v>176.28488247422678</v>
      </c>
      <c r="R203" s="45">
        <f>Tabla14[[#This Row],[INSTALLER SIN IVA]]*1.19</f>
        <v>854981.67999999993</v>
      </c>
      <c r="S203" s="39">
        <v>612498</v>
      </c>
      <c r="T203" s="4">
        <v>718472</v>
      </c>
    </row>
    <row r="204" spans="1:20" ht="135" x14ac:dyDescent="0.25">
      <c r="A204" s="38" t="s">
        <v>19</v>
      </c>
      <c r="B204" s="37" t="s">
        <v>18</v>
      </c>
      <c r="C204" s="36">
        <f>+Tabla14[[#This Row],[PRECIO SUGERIDO INSTALADOR2]]</f>
        <v>991880.47</v>
      </c>
      <c r="D204" s="36">
        <f>+Tabla14[[#This Row],[PRECIO  INSTALADOR
( CON  IVA)]]-Tabla14[[#This Row],[Columna1]]</f>
        <v>942286.44649999996</v>
      </c>
      <c r="E204" s="36">
        <f>+Tabla14[[#This Row],[DPP ORO2]]</f>
        <v>845574.73</v>
      </c>
      <c r="F204" s="36">
        <f>+Tabla14[[#This Row],[Columna4]]</f>
        <v>837118.98269999993</v>
      </c>
      <c r="G204" s="36">
        <f>+Tabla14[[#This Row],[PRECIO  INSTALADOR
( CON  IVA)]]/0.7</f>
        <v>1416972.1</v>
      </c>
      <c r="H204" s="35">
        <f>+Tabla14[[#This Row],[PRECIO SUGERIDO INSTALADOR2]]*5%</f>
        <v>49594.023500000003</v>
      </c>
      <c r="I204" s="29">
        <f t="shared" si="24"/>
        <v>204.51143711340205</v>
      </c>
      <c r="J204" s="29">
        <f t="shared" si="25"/>
        <v>174.34530515463916</v>
      </c>
      <c r="K204" s="34">
        <f t="shared" si="26"/>
        <v>172.60185210309277</v>
      </c>
      <c r="L204" s="34">
        <f t="shared" si="27"/>
        <v>172.60185210309277</v>
      </c>
      <c r="M204" s="34">
        <f t="shared" si="28"/>
        <v>837118.98269999993</v>
      </c>
      <c r="N204" s="33">
        <f t="shared" si="29"/>
        <v>8455.7472999999991</v>
      </c>
      <c r="O204" s="4">
        <f t="shared" si="30"/>
        <v>174.34530515463916</v>
      </c>
      <c r="P204" s="32">
        <f>Tabla14[[#This Row],[ORO SIN IVA]]*1.19</f>
        <v>845574.73</v>
      </c>
      <c r="Q204" s="31">
        <f t="shared" si="31"/>
        <v>204.51143711340205</v>
      </c>
      <c r="R204" s="45">
        <f>Tabla14[[#This Row],[INSTALLER SIN IVA]]*1.19</f>
        <v>991880.47</v>
      </c>
      <c r="S204" s="39">
        <v>710567</v>
      </c>
      <c r="T204" s="4">
        <v>833513</v>
      </c>
    </row>
    <row r="205" spans="1:20" ht="40.5" x14ac:dyDescent="0.25">
      <c r="A205" s="38" t="s">
        <v>17</v>
      </c>
      <c r="B205" s="37" t="s">
        <v>16</v>
      </c>
      <c r="C205" s="36">
        <f>+Tabla14[[#This Row],[PRECIO SUGERIDO INSTALADOR2]]</f>
        <v>1639576.0499999998</v>
      </c>
      <c r="D205" s="36">
        <f>+Tabla14[[#This Row],[PRECIO  INSTALADOR
( CON  IVA)]]-Tabla14[[#This Row],[Columna1]]</f>
        <v>1557597.2474999998</v>
      </c>
      <c r="E205" s="36">
        <f>+Tabla14[[#This Row],[DPP ORO2]]</f>
        <v>1397762.0999999999</v>
      </c>
      <c r="F205" s="36">
        <f>+Tabla14[[#This Row],[Columna4]]</f>
        <v>1383784.4789999998</v>
      </c>
      <c r="G205" s="36">
        <f>+Tabla14[[#This Row],[PRECIO  INSTALADOR
( CON  IVA)]]/0.7</f>
        <v>2342251.5</v>
      </c>
      <c r="H205" s="35">
        <f>+Tabla14[[#This Row],[PRECIO SUGERIDO INSTALADOR2]]*5%</f>
        <v>81978.802499999991</v>
      </c>
      <c r="I205" s="29">
        <f t="shared" si="24"/>
        <v>338.05691752577314</v>
      </c>
      <c r="J205" s="29">
        <f t="shared" si="25"/>
        <v>288.19837113402059</v>
      </c>
      <c r="K205" s="34">
        <f t="shared" si="26"/>
        <v>285.31638742268035</v>
      </c>
      <c r="L205" s="34">
        <f t="shared" si="27"/>
        <v>285.31638742268035</v>
      </c>
      <c r="M205" s="34">
        <f t="shared" si="28"/>
        <v>1383784.4789999998</v>
      </c>
      <c r="N205" s="33">
        <f t="shared" si="29"/>
        <v>13977.620999999999</v>
      </c>
      <c r="O205" s="4">
        <f t="shared" si="30"/>
        <v>288.19837113402059</v>
      </c>
      <c r="P205" s="32">
        <f>Tabla14[[#This Row],[ORO SIN IVA]]*1.19</f>
        <v>1397762.0999999999</v>
      </c>
      <c r="Q205" s="31">
        <f t="shared" si="31"/>
        <v>338.05691752577314</v>
      </c>
      <c r="R205" s="45">
        <f>Tabla14[[#This Row],[INSTALLER SIN IVA]]*1.19</f>
        <v>1639576.0499999998</v>
      </c>
      <c r="S205" s="39">
        <v>1174590</v>
      </c>
      <c r="T205" s="4">
        <v>1377795</v>
      </c>
    </row>
    <row r="206" spans="1:20" ht="27" x14ac:dyDescent="0.25">
      <c r="A206" s="43" t="s">
        <v>15</v>
      </c>
      <c r="B206" s="27" t="s">
        <v>14</v>
      </c>
      <c r="C206" s="36">
        <f>+Tabla14[[#This Row],[PRECIO SUGERIDO INSTALADOR2]]</f>
        <v>2472755.7399999998</v>
      </c>
      <c r="D206" s="36">
        <f>+Tabla14[[#This Row],[PRECIO  INSTALADOR
( CON  IVA)]]-Tabla14[[#This Row],[Columna1]]</f>
        <v>2349117.9529999997</v>
      </c>
      <c r="E206" s="36">
        <f>+Tabla14[[#This Row],[DPP ORO2]]</f>
        <v>2108042.1599999997</v>
      </c>
      <c r="F206" s="36">
        <f>+Tabla14[[#This Row],[Columna4]]</f>
        <v>2086961.7383999997</v>
      </c>
      <c r="G206" s="36">
        <f>+Tabla14[[#This Row],[PRECIO  INSTALADOR
( CON  IVA)]]/0.7</f>
        <v>3532508.1999999997</v>
      </c>
      <c r="H206" s="35">
        <f>+Tabla14[[#This Row],[PRECIO SUGERIDO INSTALADOR2]]*5%</f>
        <v>123637.787</v>
      </c>
      <c r="I206" s="24">
        <f t="shared" si="24"/>
        <v>509.84654432989686</v>
      </c>
      <c r="J206" s="24">
        <f t="shared" si="25"/>
        <v>434.64786804123707</v>
      </c>
      <c r="K206" s="23">
        <f t="shared" si="26"/>
        <v>430.30138936082466</v>
      </c>
      <c r="L206" s="23">
        <f t="shared" si="27"/>
        <v>430.30138936082466</v>
      </c>
      <c r="M206" s="23">
        <f t="shared" si="28"/>
        <v>2086961.7383999997</v>
      </c>
      <c r="N206" s="33">
        <f t="shared" si="29"/>
        <v>21080.421599999998</v>
      </c>
      <c r="O206" s="21">
        <f t="shared" si="30"/>
        <v>434.64786804123707</v>
      </c>
      <c r="P206" s="42">
        <f>Tabla14[[#This Row],[ORO SIN IVA]]*1.19</f>
        <v>2108042.1599999997</v>
      </c>
      <c r="Q206" s="19">
        <f t="shared" si="31"/>
        <v>509.84654432989686</v>
      </c>
      <c r="R206" s="44">
        <f>Tabla14[[#This Row],[INSTALLER SIN IVA]]*1.19</f>
        <v>2472755.7399999998</v>
      </c>
      <c r="S206" s="39">
        <v>1771464</v>
      </c>
      <c r="T206" s="21">
        <v>2077946</v>
      </c>
    </row>
    <row r="207" spans="1:20" ht="27" x14ac:dyDescent="0.25">
      <c r="A207" s="43" t="s">
        <v>13</v>
      </c>
      <c r="B207" s="27" t="s">
        <v>12</v>
      </c>
      <c r="C207" s="36">
        <f>+Tabla14[[#This Row],[PRECIO SUGERIDO INSTALADOR2]]</f>
        <v>3598877.73</v>
      </c>
      <c r="D207" s="36">
        <f>+Tabla14[[#This Row],[PRECIO  INSTALADOR
( CON  IVA)]]-Tabla14[[#This Row],[Columna1]]</f>
        <v>3418933.8435</v>
      </c>
      <c r="E207" s="36">
        <f>+Tabla14[[#This Row],[DPP ORO2]]</f>
        <v>3068049.67</v>
      </c>
      <c r="F207" s="36">
        <f>+Tabla14[[#This Row],[Columna4]]</f>
        <v>3037369.1732999999</v>
      </c>
      <c r="G207" s="36">
        <f>+Tabla14[[#This Row],[PRECIO  INSTALADOR
( CON  IVA)]]/0.7</f>
        <v>5141253.9000000004</v>
      </c>
      <c r="H207" s="35">
        <f>+Tabla14[[#This Row],[PRECIO SUGERIDO INSTALADOR2]]*5%</f>
        <v>179943.88650000002</v>
      </c>
      <c r="I207" s="24">
        <f t="shared" si="24"/>
        <v>742.03664536082476</v>
      </c>
      <c r="J207" s="24">
        <f t="shared" si="25"/>
        <v>632.58756082474224</v>
      </c>
      <c r="K207" s="23">
        <f t="shared" si="26"/>
        <v>626.26168521649481</v>
      </c>
      <c r="L207" s="23">
        <f t="shared" si="27"/>
        <v>626.26168521649481</v>
      </c>
      <c r="M207" s="23">
        <f t="shared" si="28"/>
        <v>3037369.1732999999</v>
      </c>
      <c r="N207" s="33">
        <f t="shared" si="29"/>
        <v>30680.4967</v>
      </c>
      <c r="O207" s="21">
        <f t="shared" si="30"/>
        <v>632.58756082474224</v>
      </c>
      <c r="P207" s="42">
        <f>Tabla14[[#This Row],[ORO SIN IVA]]*1.19</f>
        <v>3068049.67</v>
      </c>
      <c r="Q207" s="19">
        <f t="shared" si="31"/>
        <v>742.03664536082476</v>
      </c>
      <c r="R207" s="44">
        <f>Tabla14[[#This Row],[INSTALLER SIN IVA]]*1.19</f>
        <v>3598877.73</v>
      </c>
      <c r="S207" s="39">
        <v>2578193</v>
      </c>
      <c r="T207" s="21">
        <v>3024267</v>
      </c>
    </row>
    <row r="208" spans="1:20" ht="40.5" x14ac:dyDescent="0.25">
      <c r="A208" s="43" t="s">
        <v>11</v>
      </c>
      <c r="B208" s="27" t="s">
        <v>10</v>
      </c>
      <c r="C208" s="36">
        <f>+Tabla14[[#This Row],[PRECIO SUGERIDO INSTALADOR2]]</f>
        <v>3152269.54</v>
      </c>
      <c r="D208" s="36">
        <f>+Tabla14[[#This Row],[PRECIO  INSTALADOR
( CON  IVA)]]-Tabla14[[#This Row],[Columna1]]</f>
        <v>2994656.0630000001</v>
      </c>
      <c r="E208" s="36">
        <f>+Tabla14[[#This Row],[DPP ORO2]]</f>
        <v>2931610.6722000004</v>
      </c>
      <c r="F208" s="36">
        <f>+Tabla14[[#This Row],[Columna4]]</f>
        <v>2902294.5654780003</v>
      </c>
      <c r="G208" s="36">
        <f>+Tabla14[[#This Row],[PRECIO  INSTALADOR
( CON  IVA)]]/0.7</f>
        <v>4503242.2</v>
      </c>
      <c r="H208" s="35">
        <f>+Tabla14[[#This Row],[PRECIO SUGERIDO INSTALADOR2]]*5%</f>
        <v>157613.47700000001</v>
      </c>
      <c r="I208" s="24">
        <f t="shared" si="24"/>
        <v>649.95248247422683</v>
      </c>
      <c r="J208" s="24">
        <f t="shared" si="25"/>
        <v>604.45580870103106</v>
      </c>
      <c r="K208" s="23">
        <f t="shared" si="26"/>
        <v>598.41125061402067</v>
      </c>
      <c r="L208" s="23">
        <f t="shared" si="27"/>
        <v>598.41125061402067</v>
      </c>
      <c r="M208" s="23">
        <f t="shared" si="28"/>
        <v>2902294.5654780003</v>
      </c>
      <c r="N208" s="33">
        <f t="shared" si="29"/>
        <v>29316.106722000004</v>
      </c>
      <c r="O208" s="21">
        <f t="shared" si="30"/>
        <v>604.45580870103106</v>
      </c>
      <c r="P208" s="42">
        <f>Tabla14[[#This Row],[ORO SIN IVA]]*1.19</f>
        <v>2931610.6722000004</v>
      </c>
      <c r="Q208" s="19">
        <f t="shared" si="31"/>
        <v>649.95248247422683</v>
      </c>
      <c r="R208" s="44">
        <f>Tabla14[[#This Row],[INSTALLER SIN IVA]]*1.19</f>
        <v>3152269.54</v>
      </c>
      <c r="S208" s="39">
        <f>Tabla14[[#This Row],[INSTALLER SIN IVA]]*0.93</f>
        <v>2463538.3800000004</v>
      </c>
      <c r="T208" s="21">
        <v>2648966</v>
      </c>
    </row>
    <row r="209" spans="1:84" ht="108" x14ac:dyDescent="0.25">
      <c r="A209" s="43" t="s">
        <v>9</v>
      </c>
      <c r="B209" s="27" t="s">
        <v>8</v>
      </c>
      <c r="C209" s="36">
        <f>+Tabla14[[#This Row],[PRECIO SUGERIDO INSTALADOR2]]</f>
        <v>6546961.1200000001</v>
      </c>
      <c r="D209" s="36">
        <f>+Tabla14[[#This Row],[PRECIO  INSTALADOR
( CON  IVA)]]-Tabla14[[#This Row],[Columna1]]</f>
        <v>6219613.0640000002</v>
      </c>
      <c r="E209" s="36">
        <f>+Tabla14[[#This Row],[DPP ORO2]]</f>
        <v>6088673.8416000009</v>
      </c>
      <c r="F209" s="36">
        <f>+Tabla14[[#This Row],[Columna4]]</f>
        <v>6027787.1031840006</v>
      </c>
      <c r="G209" s="36">
        <f>+Tabla14[[#This Row],[PRECIO  INSTALADOR
( CON  IVA)]]/0.7</f>
        <v>9352801.6000000015</v>
      </c>
      <c r="H209" s="35">
        <f>+Tabla14[[#This Row],[PRECIO SUGERIDO INSTALADOR2]]*5%</f>
        <v>327348.05600000004</v>
      </c>
      <c r="I209" s="24">
        <f t="shared" si="24"/>
        <v>1349.8888907216494</v>
      </c>
      <c r="J209" s="24">
        <f t="shared" si="25"/>
        <v>1255.3966683711342</v>
      </c>
      <c r="K209" s="23">
        <f t="shared" si="26"/>
        <v>1242.8427016874227</v>
      </c>
      <c r="L209" s="23">
        <f t="shared" si="27"/>
        <v>1242.8427016874227</v>
      </c>
      <c r="M209" s="23">
        <f t="shared" si="28"/>
        <v>6027787.1031840006</v>
      </c>
      <c r="N209" s="33">
        <f t="shared" si="29"/>
        <v>60886.738416000007</v>
      </c>
      <c r="O209" s="21">
        <f t="shared" si="30"/>
        <v>1255.3966683711342</v>
      </c>
      <c r="P209" s="42">
        <f>Tabla14[[#This Row],[ORO SIN IVA]]*1.19</f>
        <v>6088673.8416000009</v>
      </c>
      <c r="Q209" s="19">
        <f t="shared" si="31"/>
        <v>1349.8888907216494</v>
      </c>
      <c r="R209" s="41">
        <f>Tabla14[[#This Row],[INSTALLER SIN IVA]]*1.19</f>
        <v>6546961.1200000001</v>
      </c>
      <c r="S209" s="40">
        <f>Tabla14[[#This Row],[INSTALLER SIN IVA]]*0.93</f>
        <v>5116532.6400000006</v>
      </c>
      <c r="T209" s="21">
        <v>5501648</v>
      </c>
    </row>
    <row r="210" spans="1:84" ht="108" x14ac:dyDescent="0.25">
      <c r="A210" s="43" t="s">
        <v>7</v>
      </c>
      <c r="B210" s="28" t="s">
        <v>6</v>
      </c>
      <c r="C210" s="36">
        <f>+Tabla14[[#This Row],[PRECIO SUGERIDO INSTALADOR2]]</f>
        <v>6910733.4100000001</v>
      </c>
      <c r="D210" s="36">
        <f>+Tabla14[[#This Row],[PRECIO  INSTALADOR
( CON  IVA)]]-Tabla14[[#This Row],[Columna1]]</f>
        <v>6565196.7395000001</v>
      </c>
      <c r="E210" s="36">
        <f>+Tabla14[[#This Row],[DPP ORO2]]</f>
        <v>6426982.0713</v>
      </c>
      <c r="F210" s="36">
        <f>+Tabla14[[#This Row],[Columna4]]</f>
        <v>6362712.2505869996</v>
      </c>
      <c r="G210" s="36">
        <f>+Tabla14[[#This Row],[PRECIO  INSTALADOR
( CON  IVA)]]/0.7</f>
        <v>9872476.3000000007</v>
      </c>
      <c r="H210" s="35">
        <f>+Tabla14[[#This Row],[PRECIO SUGERIDO INSTALADOR2]]*5%</f>
        <v>345536.67050000001</v>
      </c>
      <c r="I210" s="24">
        <f t="shared" si="24"/>
        <v>1424.8934865979381</v>
      </c>
      <c r="J210" s="24">
        <f t="shared" si="25"/>
        <v>1325.1509425360825</v>
      </c>
      <c r="K210" s="23">
        <f t="shared" si="26"/>
        <v>1311.8994331107215</v>
      </c>
      <c r="L210" s="23">
        <f t="shared" si="27"/>
        <v>1311.8994331107215</v>
      </c>
      <c r="M210" s="23">
        <f t="shared" si="28"/>
        <v>6362712.2505869996</v>
      </c>
      <c r="N210" s="33">
        <f t="shared" si="29"/>
        <v>64269.820713000001</v>
      </c>
      <c r="O210" s="21">
        <f t="shared" si="30"/>
        <v>1325.1509425360825</v>
      </c>
      <c r="P210" s="42">
        <f>Tabla14[[#This Row],[ORO SIN IVA]]*1.19</f>
        <v>6426982.0713</v>
      </c>
      <c r="Q210" s="19">
        <f t="shared" si="31"/>
        <v>1424.8934865979381</v>
      </c>
      <c r="R210" s="41">
        <f>Tabla14[[#This Row],[INSTALLER SIN IVA]]*1.19</f>
        <v>6910733.4100000001</v>
      </c>
      <c r="S210" s="40">
        <f>Tabla14[[#This Row],[INSTALLER SIN IVA]]*0.93</f>
        <v>5400825.2700000005</v>
      </c>
      <c r="T210" s="21">
        <v>5807339</v>
      </c>
    </row>
    <row r="211" spans="1:84" ht="108" x14ac:dyDescent="0.25">
      <c r="A211" s="38" t="s">
        <v>5</v>
      </c>
      <c r="B211" s="37" t="s">
        <v>4</v>
      </c>
      <c r="C211" s="36">
        <f>+Tabla14[[#This Row],[PRECIO SUGERIDO INSTALADOR2]]</f>
        <v>7601811.6299999999</v>
      </c>
      <c r="D211" s="36">
        <f>+Tabla14[[#This Row],[PRECIO  INSTALADOR
( CON  IVA)]]-Tabla14[[#This Row],[Columna1]]</f>
        <v>7221721.0484999996</v>
      </c>
      <c r="E211" s="36">
        <f>+Tabla14[[#This Row],[DPP ORO2]]</f>
        <v>7069684.8158999998</v>
      </c>
      <c r="F211" s="36">
        <f>+Tabla14[[#This Row],[Columna4]]</f>
        <v>6998987.9677409995</v>
      </c>
      <c r="G211" s="36">
        <f>+Tabla14[[#This Row],[PRECIO  INSTALADOR
( CON  IVA)]]/0.7</f>
        <v>10859730.9</v>
      </c>
      <c r="H211" s="35">
        <f>+Tabla14[[#This Row],[PRECIO SUGERIDO INSTALADOR2]]*5%</f>
        <v>380090.58150000003</v>
      </c>
      <c r="I211" s="29">
        <f t="shared" si="24"/>
        <v>1567.3838412371133</v>
      </c>
      <c r="J211" s="29">
        <f t="shared" si="25"/>
        <v>1457.6669723505154</v>
      </c>
      <c r="K211" s="34">
        <f t="shared" si="26"/>
        <v>1443.0903026270103</v>
      </c>
      <c r="L211" s="34">
        <f t="shared" si="27"/>
        <v>1443.0903026270103</v>
      </c>
      <c r="M211" s="34">
        <f t="shared" si="28"/>
        <v>6998987.9677409995</v>
      </c>
      <c r="N211" s="33">
        <f t="shared" si="29"/>
        <v>70696.848159000001</v>
      </c>
      <c r="O211" s="4">
        <f t="shared" si="30"/>
        <v>1457.6669723505154</v>
      </c>
      <c r="P211" s="32">
        <f>Tabla14[[#This Row],[ORO SIN IVA]]*1.19</f>
        <v>7069684.8158999998</v>
      </c>
      <c r="Q211" s="31">
        <f t="shared" si="31"/>
        <v>1567.3838412371133</v>
      </c>
      <c r="R211" s="30">
        <f>Tabla14[[#This Row],[INSTALLER SIN IVA]]*1.19</f>
        <v>7601811.6299999999</v>
      </c>
      <c r="S211" s="39">
        <f>Tabla14[[#This Row],[INSTALLER SIN IVA]]*0.93</f>
        <v>5940911.6100000003</v>
      </c>
      <c r="T211" s="21">
        <v>6388077</v>
      </c>
    </row>
    <row r="212" spans="1:84" ht="40.5" x14ac:dyDescent="0.25">
      <c r="A212" s="38" t="s">
        <v>3</v>
      </c>
      <c r="B212" s="37" t="s">
        <v>2</v>
      </c>
      <c r="C212" s="36">
        <f>+Tabla14[[#This Row],[PRECIO SUGERIDO INSTALADOR2]]</f>
        <v>598448.62</v>
      </c>
      <c r="D212" s="36">
        <f>+Tabla14[[#This Row],[PRECIO  INSTALADOR
( CON  IVA)]]-Tabla14[[#This Row],[Columna1]]</f>
        <v>568526.18900000001</v>
      </c>
      <c r="E212" s="36">
        <f>+Tabla14[[#This Row],[DPP ORO2]]</f>
        <v>510133.95999999996</v>
      </c>
      <c r="F212" s="36">
        <f>+Tabla14[[#This Row],[Columna4]]</f>
        <v>505032.62039999996</v>
      </c>
      <c r="G212" s="36">
        <f>+Tabla14[[#This Row],[PRECIO  INSTALADOR
( CON  IVA)]]/0.7</f>
        <v>854926.60000000009</v>
      </c>
      <c r="H212" s="35">
        <f>+Tabla14[[#This Row],[PRECIO SUGERIDO INSTALADOR2]]*5%</f>
        <v>29922.431</v>
      </c>
      <c r="I212" s="29">
        <f t="shared" si="24"/>
        <v>123.39146804123712</v>
      </c>
      <c r="J212" s="29">
        <f t="shared" si="25"/>
        <v>105.18225979381442</v>
      </c>
      <c r="K212" s="34">
        <f t="shared" si="26"/>
        <v>104.13043719587628</v>
      </c>
      <c r="L212" s="34">
        <f t="shared" si="27"/>
        <v>104.13043719587628</v>
      </c>
      <c r="M212" s="34">
        <f t="shared" si="28"/>
        <v>505032.62039999996</v>
      </c>
      <c r="N212" s="33">
        <f t="shared" si="29"/>
        <v>5101.3395999999993</v>
      </c>
      <c r="O212" s="4">
        <f t="shared" si="30"/>
        <v>105.18225979381442</v>
      </c>
      <c r="P212" s="32">
        <f>Tabla14[[#This Row],[ORO SIN IVA]]*1.19</f>
        <v>510133.95999999996</v>
      </c>
      <c r="Q212" s="31">
        <f t="shared" si="31"/>
        <v>123.39146804123712</v>
      </c>
      <c r="R212" s="30">
        <f>Tabla14[[#This Row],[INSTALLER SIN IVA]]*1.19</f>
        <v>598448.62</v>
      </c>
      <c r="S212" s="29">
        <v>428684</v>
      </c>
      <c r="T212" s="4">
        <v>502898</v>
      </c>
    </row>
    <row r="213" spans="1:84" s="15" customFormat="1" ht="121.5" x14ac:dyDescent="0.25">
      <c r="A213" s="28" t="s">
        <v>1</v>
      </c>
      <c r="B213" s="27" t="s">
        <v>0</v>
      </c>
      <c r="C213" s="26">
        <f>+Tabla14[[#This Row],[PRECIO SUGERIDO INSTALADOR2]]</f>
        <v>179838.75</v>
      </c>
      <c r="D213" s="26">
        <f>+Tabla14[[#This Row],[PRECIO  INSTALADOR
( CON  IVA)]]-Tabla14[[#This Row],[Columna1]]</f>
        <v>170846.8125</v>
      </c>
      <c r="E213" s="26">
        <f>+Tabla14[[#This Row],[DPP ORO2]]</f>
        <v>164123.60999999999</v>
      </c>
      <c r="F213" s="26">
        <f>+Tabla14[[#This Row],[Columna4]]</f>
        <v>162482.37389999998</v>
      </c>
      <c r="G213" s="26">
        <f>+Tabla14[[#This Row],[PRECIO  INSTALADOR
( CON  IVA)]]/0.7</f>
        <v>256912.50000000003</v>
      </c>
      <c r="H213" s="25">
        <f>+Tabla14[[#This Row],[PRECIO SUGERIDO INSTALADOR2]]*5%</f>
        <v>8991.9375</v>
      </c>
      <c r="I213" s="24">
        <f t="shared" si="24"/>
        <v>37.080154639175255</v>
      </c>
      <c r="J213" s="24">
        <f t="shared" si="25"/>
        <v>33.839919587628863</v>
      </c>
      <c r="K213" s="23">
        <f t="shared" si="26"/>
        <v>33.501520391752571</v>
      </c>
      <c r="L213" s="23">
        <f t="shared" si="27"/>
        <v>33.501520391752571</v>
      </c>
      <c r="M213" s="23">
        <f t="shared" si="28"/>
        <v>162482.37389999998</v>
      </c>
      <c r="N213" s="22">
        <f t="shared" si="29"/>
        <v>1641.2360999999999</v>
      </c>
      <c r="O213" s="21">
        <f t="shared" si="30"/>
        <v>33.839919587628863</v>
      </c>
      <c r="P213" s="20">
        <f>Tabla14[[#This Row],[ORO SIN IVA]]*1.19</f>
        <v>164123.60999999999</v>
      </c>
      <c r="Q213" s="19">
        <f t="shared" si="31"/>
        <v>37.080154639175255</v>
      </c>
      <c r="R213" s="18">
        <f>Tabla14[[#This Row],[INSTALLER SIN IVA]]*1.19</f>
        <v>179838.75</v>
      </c>
      <c r="S213" s="17">
        <v>137919</v>
      </c>
      <c r="T213" s="10">
        <v>151125</v>
      </c>
      <c r="V213" s="16"/>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row>
    <row r="214" spans="1:84" s="2" customFormat="1" x14ac:dyDescent="0.25">
      <c r="A214" s="14"/>
      <c r="B214" s="13"/>
      <c r="C214" s="10"/>
      <c r="D214" s="10"/>
      <c r="E214" s="10"/>
      <c r="F214" s="12"/>
      <c r="G214" s="12"/>
      <c r="H214" s="12"/>
      <c r="I214" s="10"/>
      <c r="J214" s="11"/>
      <c r="K214" s="11"/>
      <c r="L214" s="11"/>
      <c r="M214" s="11"/>
      <c r="N214" s="11"/>
      <c r="O214" s="10"/>
      <c r="P214" s="10"/>
      <c r="Q214" s="10"/>
      <c r="R214" s="10"/>
      <c r="S214" s="10"/>
      <c r="T214" s="10"/>
    </row>
    <row r="215" spans="1:84" s="2" customFormat="1" x14ac:dyDescent="0.25">
      <c r="A215" s="14"/>
      <c r="B215" s="13"/>
      <c r="C215" s="10"/>
      <c r="D215" s="10"/>
      <c r="E215" s="10"/>
      <c r="F215" s="12"/>
      <c r="G215" s="12"/>
      <c r="H215" s="12"/>
      <c r="I215" s="10"/>
      <c r="J215" s="11"/>
      <c r="K215" s="11"/>
      <c r="L215" s="11"/>
      <c r="M215" s="11"/>
      <c r="N215" s="11"/>
      <c r="O215" s="10"/>
      <c r="P215" s="10"/>
      <c r="Q215" s="10"/>
      <c r="R215" s="10"/>
      <c r="S215" s="10"/>
      <c r="T215" s="10"/>
    </row>
    <row r="216" spans="1:84" s="2" customFormat="1" x14ac:dyDescent="0.25">
      <c r="A216" s="14"/>
      <c r="B216" s="13"/>
      <c r="C216" s="10"/>
      <c r="D216" s="10"/>
      <c r="E216" s="10"/>
      <c r="F216" s="12"/>
      <c r="G216" s="12"/>
      <c r="H216" s="12"/>
      <c r="I216" s="10"/>
      <c r="J216" s="11"/>
      <c r="K216" s="11"/>
      <c r="L216" s="11"/>
      <c r="M216" s="11"/>
      <c r="N216" s="11"/>
      <c r="O216" s="10"/>
      <c r="P216" s="10"/>
      <c r="Q216" s="10"/>
      <c r="R216" s="10"/>
      <c r="S216" s="10"/>
      <c r="T216" s="10"/>
    </row>
    <row r="217" spans="1:84" s="2" customFormat="1" x14ac:dyDescent="0.25">
      <c r="A217" s="14"/>
      <c r="B217" s="13"/>
      <c r="C217" s="10"/>
      <c r="D217" s="10"/>
      <c r="E217" s="10"/>
      <c r="F217" s="12"/>
      <c r="G217" s="12"/>
      <c r="H217" s="12"/>
      <c r="I217" s="10"/>
      <c r="J217" s="11"/>
      <c r="K217" s="11"/>
      <c r="L217" s="11"/>
      <c r="M217" s="11"/>
      <c r="N217" s="11"/>
      <c r="O217" s="10"/>
      <c r="P217" s="10"/>
      <c r="Q217" s="10"/>
      <c r="R217" s="10"/>
      <c r="S217" s="10"/>
      <c r="T217" s="10"/>
    </row>
    <row r="218" spans="1:84" s="2" customFormat="1" x14ac:dyDescent="0.25">
      <c r="A218" s="14"/>
      <c r="B218" s="13"/>
      <c r="C218" s="10"/>
      <c r="D218" s="10"/>
      <c r="E218" s="10"/>
      <c r="F218" s="12"/>
      <c r="G218" s="12"/>
      <c r="H218" s="12"/>
      <c r="I218" s="10"/>
      <c r="J218" s="11"/>
      <c r="K218" s="11"/>
      <c r="L218" s="11"/>
      <c r="M218" s="11"/>
      <c r="N218" s="11"/>
      <c r="O218" s="10"/>
      <c r="P218" s="10"/>
      <c r="Q218" s="10"/>
      <c r="R218" s="10"/>
      <c r="S218" s="10"/>
      <c r="T218" s="10"/>
    </row>
    <row r="219" spans="1:84" s="2" customFormat="1" x14ac:dyDescent="0.25">
      <c r="A219" s="14"/>
      <c r="B219" s="13"/>
      <c r="C219" s="10"/>
      <c r="D219" s="10"/>
      <c r="E219" s="10"/>
      <c r="F219" s="12"/>
      <c r="G219" s="12"/>
      <c r="H219" s="12"/>
      <c r="I219" s="10"/>
      <c r="J219" s="11"/>
      <c r="K219" s="11"/>
      <c r="L219" s="11"/>
      <c r="M219" s="11"/>
      <c r="N219" s="11"/>
      <c r="O219" s="10"/>
      <c r="P219" s="10"/>
      <c r="Q219" s="10"/>
      <c r="R219" s="10"/>
      <c r="S219" s="10"/>
      <c r="T219" s="10"/>
    </row>
    <row r="220" spans="1:84" s="2" customFormat="1" x14ac:dyDescent="0.25">
      <c r="A220" s="14"/>
      <c r="B220" s="13"/>
      <c r="C220" s="10"/>
      <c r="D220" s="10"/>
      <c r="E220" s="10"/>
      <c r="F220" s="12"/>
      <c r="G220" s="12"/>
      <c r="H220" s="12"/>
      <c r="I220" s="10"/>
      <c r="J220" s="11"/>
      <c r="K220" s="11"/>
      <c r="L220" s="11"/>
      <c r="M220" s="11"/>
      <c r="N220" s="11"/>
      <c r="O220" s="10"/>
      <c r="P220" s="10"/>
      <c r="Q220" s="10"/>
      <c r="R220" s="10"/>
      <c r="S220" s="10"/>
      <c r="T220" s="10"/>
    </row>
    <row r="221" spans="1:84" s="2" customFormat="1" x14ac:dyDescent="0.25">
      <c r="A221" s="14"/>
      <c r="B221" s="13"/>
      <c r="C221" s="10"/>
      <c r="D221" s="10"/>
      <c r="E221" s="10"/>
      <c r="F221" s="12"/>
      <c r="G221" s="12"/>
      <c r="H221" s="12"/>
      <c r="I221" s="10"/>
      <c r="J221" s="11"/>
      <c r="K221" s="11"/>
      <c r="L221" s="11"/>
      <c r="M221" s="11"/>
      <c r="N221" s="11"/>
      <c r="O221" s="10"/>
      <c r="P221" s="10"/>
      <c r="Q221" s="10"/>
      <c r="R221" s="10"/>
      <c r="S221" s="10"/>
      <c r="T221" s="10"/>
    </row>
    <row r="222" spans="1:84" s="2" customFormat="1" x14ac:dyDescent="0.25">
      <c r="A222" s="14"/>
      <c r="B222" s="13"/>
      <c r="C222" s="10"/>
      <c r="D222" s="10"/>
      <c r="E222" s="10"/>
      <c r="F222" s="12"/>
      <c r="G222" s="12"/>
      <c r="H222" s="12"/>
      <c r="I222" s="10"/>
      <c r="J222" s="11"/>
      <c r="K222" s="11"/>
      <c r="L222" s="11"/>
      <c r="M222" s="11"/>
      <c r="N222" s="11"/>
      <c r="O222" s="10"/>
      <c r="P222" s="10"/>
      <c r="Q222" s="10"/>
      <c r="R222" s="10"/>
      <c r="S222" s="10"/>
      <c r="T222" s="10"/>
    </row>
    <row r="223" spans="1:84" s="2" customFormat="1" x14ac:dyDescent="0.25">
      <c r="A223" s="14"/>
      <c r="B223" s="13"/>
      <c r="C223" s="10"/>
      <c r="D223" s="10"/>
      <c r="E223" s="10"/>
      <c r="F223" s="12"/>
      <c r="G223" s="12"/>
      <c r="H223" s="12"/>
      <c r="I223" s="10"/>
      <c r="J223" s="11"/>
      <c r="K223" s="11"/>
      <c r="L223" s="11"/>
      <c r="M223" s="11"/>
      <c r="N223" s="11"/>
      <c r="O223" s="10"/>
      <c r="P223" s="10"/>
      <c r="Q223" s="10"/>
      <c r="R223" s="10"/>
      <c r="S223" s="10"/>
      <c r="T223" s="10"/>
    </row>
    <row r="224" spans="1:84" s="2" customFormat="1" x14ac:dyDescent="0.25">
      <c r="A224" s="14"/>
      <c r="B224" s="13"/>
      <c r="C224" s="10"/>
      <c r="D224" s="10"/>
      <c r="E224" s="10"/>
      <c r="F224" s="12"/>
      <c r="G224" s="12"/>
      <c r="H224" s="12"/>
      <c r="I224" s="10"/>
      <c r="J224" s="11"/>
      <c r="K224" s="11"/>
      <c r="L224" s="11"/>
      <c r="M224" s="11"/>
      <c r="N224" s="11"/>
      <c r="O224" s="10"/>
      <c r="P224" s="10"/>
      <c r="Q224" s="10"/>
      <c r="R224" s="10"/>
      <c r="S224" s="10"/>
      <c r="T224" s="10"/>
    </row>
    <row r="225" spans="1:20" s="2" customFormat="1" x14ac:dyDescent="0.25">
      <c r="A225" s="14"/>
      <c r="B225" s="13"/>
      <c r="C225" s="10"/>
      <c r="D225" s="10"/>
      <c r="E225" s="10"/>
      <c r="F225" s="12"/>
      <c r="G225" s="12"/>
      <c r="H225" s="12"/>
      <c r="I225" s="10"/>
      <c r="J225" s="11"/>
      <c r="K225" s="11"/>
      <c r="L225" s="11"/>
      <c r="M225" s="11"/>
      <c r="N225" s="11"/>
      <c r="O225" s="10"/>
      <c r="P225" s="10"/>
      <c r="Q225" s="10"/>
      <c r="R225" s="10"/>
      <c r="S225" s="10"/>
      <c r="T225" s="10"/>
    </row>
    <row r="226" spans="1:20" s="2" customFormat="1" x14ac:dyDescent="0.25">
      <c r="A226" s="14"/>
      <c r="B226" s="13"/>
      <c r="C226" s="10"/>
      <c r="D226" s="10"/>
      <c r="E226" s="10"/>
      <c r="F226" s="12"/>
      <c r="G226" s="12"/>
      <c r="H226" s="12"/>
      <c r="I226" s="10"/>
      <c r="J226" s="11"/>
      <c r="K226" s="11"/>
      <c r="L226" s="11"/>
      <c r="M226" s="11"/>
      <c r="N226" s="11"/>
      <c r="O226" s="10"/>
      <c r="P226" s="10"/>
      <c r="Q226" s="10"/>
      <c r="R226" s="10"/>
      <c r="S226" s="10"/>
      <c r="T226" s="10"/>
    </row>
    <row r="227" spans="1:20" s="2" customFormat="1" x14ac:dyDescent="0.25">
      <c r="A227" s="14"/>
      <c r="B227" s="13"/>
      <c r="C227" s="10"/>
      <c r="D227" s="10"/>
      <c r="E227" s="10"/>
      <c r="F227" s="12"/>
      <c r="G227" s="12"/>
      <c r="H227" s="12"/>
      <c r="I227" s="10"/>
      <c r="J227" s="11"/>
      <c r="K227" s="11"/>
      <c r="L227" s="11"/>
      <c r="M227" s="11"/>
      <c r="N227" s="11"/>
      <c r="O227" s="10"/>
      <c r="P227" s="10"/>
      <c r="Q227" s="10"/>
      <c r="R227" s="10"/>
      <c r="S227" s="10"/>
      <c r="T227" s="10"/>
    </row>
    <row r="228" spans="1:20" s="2" customFormat="1" x14ac:dyDescent="0.25">
      <c r="A228" s="14"/>
      <c r="B228" s="13"/>
      <c r="C228" s="10"/>
      <c r="D228" s="10"/>
      <c r="E228" s="10"/>
      <c r="F228" s="12"/>
      <c r="G228" s="12"/>
      <c r="H228" s="12"/>
      <c r="I228" s="10"/>
      <c r="J228" s="11"/>
      <c r="K228" s="11"/>
      <c r="L228" s="11"/>
      <c r="M228" s="11"/>
      <c r="N228" s="11"/>
      <c r="O228" s="10"/>
      <c r="P228" s="10"/>
      <c r="Q228" s="10"/>
      <c r="R228" s="10"/>
      <c r="S228" s="10"/>
      <c r="T228" s="10"/>
    </row>
    <row r="229" spans="1:20" s="2" customFormat="1" x14ac:dyDescent="0.25">
      <c r="A229" s="14"/>
      <c r="B229" s="13"/>
      <c r="C229" s="10"/>
      <c r="D229" s="10"/>
      <c r="E229" s="10"/>
      <c r="F229" s="12"/>
      <c r="G229" s="12"/>
      <c r="H229" s="12"/>
      <c r="I229" s="10"/>
      <c r="J229" s="11"/>
      <c r="K229" s="11"/>
      <c r="L229" s="11"/>
      <c r="M229" s="11"/>
      <c r="N229" s="11"/>
      <c r="O229" s="10"/>
      <c r="P229" s="10"/>
      <c r="Q229" s="10"/>
      <c r="R229" s="10"/>
      <c r="S229" s="10"/>
      <c r="T229" s="10"/>
    </row>
    <row r="230" spans="1:20" s="2" customFormat="1" x14ac:dyDescent="0.25">
      <c r="A230" s="14"/>
      <c r="B230" s="13"/>
      <c r="C230" s="10"/>
      <c r="D230" s="10"/>
      <c r="E230" s="10"/>
      <c r="F230" s="12"/>
      <c r="G230" s="12"/>
      <c r="H230" s="12"/>
      <c r="I230" s="10"/>
      <c r="J230" s="11"/>
      <c r="K230" s="11"/>
      <c r="L230" s="11"/>
      <c r="M230" s="11"/>
      <c r="N230" s="11"/>
      <c r="O230" s="10"/>
      <c r="P230" s="10"/>
      <c r="Q230" s="10"/>
      <c r="R230" s="10"/>
      <c r="S230" s="10"/>
      <c r="T230" s="10"/>
    </row>
    <row r="231" spans="1:20" s="2" customFormat="1" x14ac:dyDescent="0.25">
      <c r="A231" s="14"/>
      <c r="B231" s="13"/>
      <c r="C231" s="10"/>
      <c r="D231" s="10"/>
      <c r="E231" s="10"/>
      <c r="F231" s="12"/>
      <c r="G231" s="12"/>
      <c r="H231" s="12"/>
      <c r="I231" s="10"/>
      <c r="J231" s="11"/>
      <c r="K231" s="11"/>
      <c r="L231" s="11"/>
      <c r="M231" s="11"/>
      <c r="N231" s="11"/>
      <c r="O231" s="10"/>
      <c r="P231" s="10"/>
      <c r="Q231" s="10"/>
      <c r="R231" s="10"/>
      <c r="S231" s="10"/>
      <c r="T231" s="10"/>
    </row>
    <row r="232" spans="1:20" s="2" customFormat="1" x14ac:dyDescent="0.25">
      <c r="A232" s="14"/>
      <c r="B232" s="13"/>
      <c r="C232" s="10"/>
      <c r="D232" s="10"/>
      <c r="E232" s="10"/>
      <c r="F232" s="12"/>
      <c r="G232" s="12"/>
      <c r="H232" s="12"/>
      <c r="I232" s="10"/>
      <c r="J232" s="11"/>
      <c r="K232" s="11"/>
      <c r="L232" s="11"/>
      <c r="M232" s="11"/>
      <c r="N232" s="11"/>
      <c r="O232" s="10"/>
      <c r="P232" s="10"/>
      <c r="Q232" s="10"/>
      <c r="R232" s="10"/>
      <c r="S232" s="10"/>
      <c r="T232" s="10"/>
    </row>
    <row r="233" spans="1:20" s="2" customFormat="1" x14ac:dyDescent="0.25">
      <c r="A233" s="14"/>
      <c r="B233" s="13"/>
      <c r="C233" s="10"/>
      <c r="D233" s="10"/>
      <c r="E233" s="10"/>
      <c r="F233" s="12"/>
      <c r="G233" s="12"/>
      <c r="H233" s="12"/>
      <c r="I233" s="10"/>
      <c r="J233" s="11"/>
      <c r="K233" s="11"/>
      <c r="L233" s="11"/>
      <c r="M233" s="11"/>
      <c r="N233" s="11"/>
      <c r="O233" s="10"/>
      <c r="P233" s="10"/>
      <c r="Q233" s="10"/>
      <c r="R233" s="10"/>
      <c r="S233" s="10"/>
      <c r="T233" s="10"/>
    </row>
    <row r="234" spans="1:20" s="2" customFormat="1" x14ac:dyDescent="0.25">
      <c r="A234" s="14"/>
      <c r="B234" s="13"/>
      <c r="C234" s="10"/>
      <c r="D234" s="10"/>
      <c r="E234" s="10"/>
      <c r="F234" s="12"/>
      <c r="G234" s="12"/>
      <c r="H234" s="12"/>
      <c r="I234" s="10"/>
      <c r="J234" s="11"/>
      <c r="K234" s="11"/>
      <c r="L234" s="11"/>
      <c r="M234" s="11"/>
      <c r="N234" s="11"/>
      <c r="O234" s="10"/>
      <c r="P234" s="10"/>
      <c r="Q234" s="10"/>
      <c r="R234" s="10"/>
      <c r="S234" s="10"/>
      <c r="T234" s="10"/>
    </row>
    <row r="235" spans="1:20" s="2" customFormat="1" x14ac:dyDescent="0.25">
      <c r="A235" s="14"/>
      <c r="B235" s="13"/>
      <c r="C235" s="10"/>
      <c r="D235" s="10"/>
      <c r="E235" s="10"/>
      <c r="F235" s="12"/>
      <c r="G235" s="12"/>
      <c r="H235" s="12"/>
      <c r="I235" s="10"/>
      <c r="J235" s="11"/>
      <c r="K235" s="11"/>
      <c r="L235" s="11"/>
      <c r="M235" s="11"/>
      <c r="N235" s="11"/>
      <c r="O235" s="10"/>
      <c r="P235" s="10"/>
      <c r="Q235" s="10"/>
      <c r="R235" s="10"/>
      <c r="S235" s="10"/>
      <c r="T235" s="10"/>
    </row>
    <row r="236" spans="1:20" s="2" customFormat="1" x14ac:dyDescent="0.25">
      <c r="A236" s="14"/>
      <c r="B236" s="13"/>
      <c r="C236" s="10"/>
      <c r="D236" s="10"/>
      <c r="E236" s="10"/>
      <c r="F236" s="12"/>
      <c r="G236" s="12"/>
      <c r="H236" s="12"/>
      <c r="I236" s="10"/>
      <c r="J236" s="11"/>
      <c r="K236" s="11"/>
      <c r="L236" s="11"/>
      <c r="M236" s="11"/>
      <c r="N236" s="11"/>
      <c r="O236" s="10"/>
      <c r="P236" s="10"/>
      <c r="Q236" s="10"/>
      <c r="R236" s="10"/>
      <c r="S236" s="10"/>
      <c r="T236" s="10"/>
    </row>
    <row r="237" spans="1:20" s="2" customFormat="1" x14ac:dyDescent="0.25">
      <c r="A237" s="14"/>
      <c r="B237" s="13"/>
      <c r="C237" s="10"/>
      <c r="D237" s="10"/>
      <c r="E237" s="10"/>
      <c r="F237" s="12"/>
      <c r="G237" s="12"/>
      <c r="H237" s="12"/>
      <c r="I237" s="10"/>
      <c r="J237" s="11"/>
      <c r="K237" s="11"/>
      <c r="L237" s="11"/>
      <c r="M237" s="11"/>
      <c r="N237" s="11"/>
      <c r="O237" s="10"/>
      <c r="P237" s="10"/>
      <c r="Q237" s="10"/>
      <c r="R237" s="10"/>
      <c r="S237" s="10"/>
      <c r="T237" s="10"/>
    </row>
    <row r="238" spans="1:20" s="2" customFormat="1" x14ac:dyDescent="0.25">
      <c r="A238" s="14"/>
      <c r="B238" s="13"/>
      <c r="C238" s="10"/>
      <c r="D238" s="10"/>
      <c r="E238" s="10"/>
      <c r="F238" s="12"/>
      <c r="G238" s="12"/>
      <c r="H238" s="12"/>
      <c r="I238" s="10"/>
      <c r="J238" s="11"/>
      <c r="K238" s="11"/>
      <c r="L238" s="11"/>
      <c r="M238" s="11"/>
      <c r="N238" s="11"/>
      <c r="O238" s="10"/>
      <c r="P238" s="10"/>
      <c r="Q238" s="10"/>
      <c r="R238" s="10"/>
      <c r="S238" s="10"/>
      <c r="T238" s="10"/>
    </row>
    <row r="239" spans="1:20" s="2" customFormat="1" x14ac:dyDescent="0.25">
      <c r="A239" s="14"/>
      <c r="B239" s="13"/>
      <c r="C239" s="10"/>
      <c r="D239" s="10"/>
      <c r="E239" s="10"/>
      <c r="F239" s="12"/>
      <c r="G239" s="12"/>
      <c r="H239" s="12"/>
      <c r="I239" s="10"/>
      <c r="J239" s="11"/>
      <c r="K239" s="11"/>
      <c r="L239" s="11"/>
      <c r="M239" s="11"/>
      <c r="N239" s="11"/>
      <c r="O239" s="10"/>
      <c r="P239" s="10"/>
      <c r="Q239" s="10"/>
      <c r="R239" s="10"/>
      <c r="S239" s="10"/>
      <c r="T239" s="10"/>
    </row>
    <row r="240" spans="1:20" s="2" customFormat="1" x14ac:dyDescent="0.25">
      <c r="A240" s="14"/>
      <c r="B240" s="13"/>
      <c r="C240" s="10"/>
      <c r="D240" s="10"/>
      <c r="E240" s="10"/>
      <c r="F240" s="12"/>
      <c r="G240" s="12"/>
      <c r="H240" s="12"/>
      <c r="I240" s="10"/>
      <c r="J240" s="11"/>
      <c r="K240" s="11"/>
      <c r="L240" s="11"/>
      <c r="M240" s="11"/>
      <c r="N240" s="11"/>
      <c r="O240" s="10"/>
      <c r="P240" s="10"/>
      <c r="Q240" s="10"/>
      <c r="R240" s="10"/>
      <c r="S240" s="10"/>
      <c r="T240" s="10"/>
    </row>
    <row r="241" spans="1:20" s="2" customFormat="1" x14ac:dyDescent="0.25">
      <c r="A241" s="14"/>
      <c r="B241" s="13"/>
      <c r="C241" s="10"/>
      <c r="D241" s="10"/>
      <c r="E241" s="10"/>
      <c r="F241" s="12"/>
      <c r="G241" s="12"/>
      <c r="H241" s="12"/>
      <c r="I241" s="10"/>
      <c r="J241" s="11"/>
      <c r="K241" s="11"/>
      <c r="L241" s="11"/>
      <c r="M241" s="11"/>
      <c r="N241" s="11"/>
      <c r="O241" s="10"/>
      <c r="P241" s="10"/>
      <c r="Q241" s="10"/>
      <c r="R241" s="10"/>
      <c r="S241" s="10"/>
      <c r="T241" s="10"/>
    </row>
    <row r="242" spans="1:20" s="2" customFormat="1" x14ac:dyDescent="0.25">
      <c r="A242" s="14"/>
      <c r="B242" s="13"/>
      <c r="C242" s="10"/>
      <c r="D242" s="10"/>
      <c r="E242" s="10"/>
      <c r="F242" s="12"/>
      <c r="G242" s="12"/>
      <c r="H242" s="12"/>
      <c r="I242" s="10"/>
      <c r="J242" s="11"/>
      <c r="K242" s="11"/>
      <c r="L242" s="11"/>
      <c r="M242" s="11"/>
      <c r="N242" s="11"/>
      <c r="O242" s="10"/>
      <c r="P242" s="10"/>
      <c r="Q242" s="10"/>
      <c r="R242" s="10"/>
      <c r="S242" s="10"/>
      <c r="T242" s="10"/>
    </row>
    <row r="243" spans="1:20" s="2" customFormat="1" x14ac:dyDescent="0.25">
      <c r="A243" s="14"/>
      <c r="B243" s="13"/>
      <c r="C243" s="10"/>
      <c r="D243" s="10"/>
      <c r="E243" s="10"/>
      <c r="F243" s="12"/>
      <c r="G243" s="12"/>
      <c r="H243" s="12"/>
      <c r="I243" s="10"/>
      <c r="J243" s="11"/>
      <c r="K243" s="11"/>
      <c r="L243" s="11"/>
      <c r="M243" s="11"/>
      <c r="N243" s="11"/>
      <c r="O243" s="10"/>
      <c r="P243" s="10"/>
      <c r="Q243" s="10"/>
      <c r="R243" s="10"/>
      <c r="S243" s="10"/>
      <c r="T243" s="10"/>
    </row>
    <row r="244" spans="1:20" s="2" customFormat="1" x14ac:dyDescent="0.25">
      <c r="A244" s="14"/>
      <c r="B244" s="13"/>
      <c r="C244" s="10"/>
      <c r="D244" s="10"/>
      <c r="E244" s="10"/>
      <c r="F244" s="12"/>
      <c r="G244" s="12"/>
      <c r="H244" s="12"/>
      <c r="I244" s="10"/>
      <c r="J244" s="11"/>
      <c r="K244" s="11"/>
      <c r="L244" s="11"/>
      <c r="M244" s="11"/>
      <c r="N244" s="11"/>
      <c r="O244" s="10"/>
      <c r="P244" s="10"/>
      <c r="Q244" s="10"/>
      <c r="R244" s="10"/>
      <c r="S244" s="10"/>
      <c r="T244" s="10"/>
    </row>
    <row r="245" spans="1:20" s="2" customFormat="1" x14ac:dyDescent="0.25">
      <c r="A245" s="14"/>
      <c r="B245" s="13"/>
      <c r="C245" s="10"/>
      <c r="D245" s="10"/>
      <c r="E245" s="10"/>
      <c r="F245" s="12"/>
      <c r="G245" s="12"/>
      <c r="H245" s="12"/>
      <c r="I245" s="10"/>
      <c r="J245" s="11"/>
      <c r="K245" s="11"/>
      <c r="L245" s="11"/>
      <c r="M245" s="11"/>
      <c r="N245" s="11"/>
      <c r="O245" s="10"/>
      <c r="P245" s="10"/>
      <c r="Q245" s="10"/>
      <c r="R245" s="10"/>
      <c r="S245" s="10"/>
      <c r="T245" s="10"/>
    </row>
    <row r="246" spans="1:20" s="2" customFormat="1" x14ac:dyDescent="0.25">
      <c r="A246" s="14"/>
      <c r="B246" s="13"/>
      <c r="C246" s="10"/>
      <c r="D246" s="10"/>
      <c r="E246" s="10"/>
      <c r="F246" s="12"/>
      <c r="G246" s="12"/>
      <c r="H246" s="12"/>
      <c r="I246" s="10"/>
      <c r="J246" s="11"/>
      <c r="K246" s="11"/>
      <c r="L246" s="11"/>
      <c r="M246" s="11"/>
      <c r="N246" s="11"/>
      <c r="O246" s="10"/>
      <c r="P246" s="10"/>
      <c r="Q246" s="10"/>
      <c r="R246" s="10"/>
      <c r="S246" s="10"/>
      <c r="T246" s="10"/>
    </row>
    <row r="247" spans="1:20" s="2" customFormat="1" x14ac:dyDescent="0.25">
      <c r="A247" s="14"/>
      <c r="B247" s="13"/>
      <c r="C247" s="10"/>
      <c r="D247" s="10"/>
      <c r="E247" s="10"/>
      <c r="F247" s="12"/>
      <c r="G247" s="12"/>
      <c r="H247" s="12"/>
      <c r="I247" s="10"/>
      <c r="J247" s="11"/>
      <c r="K247" s="11"/>
      <c r="L247" s="11"/>
      <c r="M247" s="11"/>
      <c r="N247" s="11"/>
      <c r="O247" s="10"/>
      <c r="P247" s="10"/>
      <c r="Q247" s="10"/>
      <c r="R247" s="10"/>
      <c r="S247" s="10"/>
      <c r="T247" s="10"/>
    </row>
    <row r="248" spans="1:20" s="2" customFormat="1" x14ac:dyDescent="0.25">
      <c r="A248" s="14"/>
      <c r="B248" s="13"/>
      <c r="C248" s="10"/>
      <c r="D248" s="10"/>
      <c r="E248" s="10"/>
      <c r="F248" s="12"/>
      <c r="G248" s="12"/>
      <c r="H248" s="12"/>
      <c r="I248" s="10"/>
      <c r="J248" s="11"/>
      <c r="K248" s="11"/>
      <c r="L248" s="11"/>
      <c r="M248" s="11"/>
      <c r="N248" s="11"/>
      <c r="O248" s="10"/>
      <c r="P248" s="10"/>
      <c r="Q248" s="10"/>
      <c r="R248" s="10"/>
      <c r="S248" s="10"/>
      <c r="T248" s="10"/>
    </row>
    <row r="249" spans="1:20" s="2" customFormat="1" x14ac:dyDescent="0.25">
      <c r="A249" s="14"/>
      <c r="B249" s="13"/>
      <c r="C249" s="10"/>
      <c r="D249" s="10"/>
      <c r="E249" s="10"/>
      <c r="F249" s="12"/>
      <c r="G249" s="12"/>
      <c r="H249" s="12"/>
      <c r="I249" s="10"/>
      <c r="J249" s="11"/>
      <c r="K249" s="11"/>
      <c r="L249" s="11"/>
      <c r="M249" s="11"/>
      <c r="N249" s="11"/>
      <c r="O249" s="10"/>
      <c r="P249" s="10"/>
      <c r="Q249" s="10"/>
      <c r="R249" s="10"/>
      <c r="S249" s="10"/>
      <c r="T249" s="10"/>
    </row>
    <row r="250" spans="1:20" s="2" customFormat="1" x14ac:dyDescent="0.25">
      <c r="A250" s="14"/>
      <c r="B250" s="13"/>
      <c r="C250" s="10"/>
      <c r="D250" s="10"/>
      <c r="E250" s="10"/>
      <c r="F250" s="12"/>
      <c r="G250" s="12"/>
      <c r="H250" s="12"/>
      <c r="I250" s="10"/>
      <c r="J250" s="11"/>
      <c r="K250" s="11"/>
      <c r="L250" s="11"/>
      <c r="M250" s="11"/>
      <c r="N250" s="11"/>
      <c r="O250" s="10"/>
      <c r="P250" s="10"/>
      <c r="Q250" s="10"/>
      <c r="R250" s="10"/>
      <c r="S250" s="10"/>
      <c r="T250" s="10"/>
    </row>
    <row r="251" spans="1:20" s="2" customFormat="1" x14ac:dyDescent="0.25">
      <c r="A251" s="14"/>
      <c r="B251" s="13"/>
      <c r="C251" s="10"/>
      <c r="D251" s="10"/>
      <c r="E251" s="10"/>
      <c r="F251" s="12"/>
      <c r="G251" s="12"/>
      <c r="H251" s="12"/>
      <c r="I251" s="10"/>
      <c r="J251" s="11"/>
      <c r="K251" s="11"/>
      <c r="L251" s="11"/>
      <c r="M251" s="11"/>
      <c r="N251" s="11"/>
      <c r="O251" s="10"/>
      <c r="P251" s="10"/>
      <c r="Q251" s="10"/>
      <c r="R251" s="10"/>
      <c r="S251" s="10"/>
      <c r="T251" s="10"/>
    </row>
    <row r="252" spans="1:20" s="2" customFormat="1" x14ac:dyDescent="0.25">
      <c r="A252" s="14"/>
      <c r="B252" s="13"/>
      <c r="C252" s="10"/>
      <c r="D252" s="10"/>
      <c r="E252" s="10"/>
      <c r="F252" s="12"/>
      <c r="G252" s="12"/>
      <c r="H252" s="12"/>
      <c r="I252" s="10"/>
      <c r="J252" s="11"/>
      <c r="K252" s="11"/>
      <c r="L252" s="11"/>
      <c r="M252" s="11"/>
      <c r="N252" s="11"/>
      <c r="O252" s="10"/>
      <c r="P252" s="10"/>
      <c r="Q252" s="10"/>
      <c r="R252" s="10"/>
      <c r="S252" s="10"/>
      <c r="T252" s="10"/>
    </row>
    <row r="253" spans="1:20" s="2" customFormat="1" x14ac:dyDescent="0.25">
      <c r="A253" s="14"/>
      <c r="B253" s="13"/>
      <c r="C253" s="10"/>
      <c r="D253" s="10"/>
      <c r="E253" s="10"/>
      <c r="F253" s="12"/>
      <c r="G253" s="12"/>
      <c r="H253" s="12"/>
      <c r="I253" s="10"/>
      <c r="J253" s="11"/>
      <c r="K253" s="11"/>
      <c r="L253" s="11"/>
      <c r="M253" s="11"/>
      <c r="N253" s="11"/>
      <c r="O253" s="10"/>
      <c r="P253" s="10"/>
      <c r="Q253" s="10"/>
      <c r="R253" s="10"/>
      <c r="S253" s="10"/>
      <c r="T253" s="10"/>
    </row>
    <row r="254" spans="1:20" s="2" customFormat="1" x14ac:dyDescent="0.25">
      <c r="A254" s="14"/>
      <c r="B254" s="13"/>
      <c r="C254" s="10"/>
      <c r="D254" s="10"/>
      <c r="E254" s="10"/>
      <c r="F254" s="12"/>
      <c r="G254" s="12"/>
      <c r="H254" s="12"/>
      <c r="I254" s="10"/>
      <c r="J254" s="11"/>
      <c r="K254" s="11"/>
      <c r="L254" s="11"/>
      <c r="M254" s="11"/>
      <c r="N254" s="11"/>
      <c r="O254" s="10"/>
      <c r="P254" s="10"/>
      <c r="Q254" s="10"/>
      <c r="R254" s="10"/>
      <c r="S254" s="10"/>
      <c r="T254" s="10"/>
    </row>
    <row r="255" spans="1:20" s="2" customFormat="1" x14ac:dyDescent="0.25">
      <c r="A255" s="14"/>
      <c r="B255" s="13"/>
      <c r="C255" s="10"/>
      <c r="D255" s="10"/>
      <c r="E255" s="10"/>
      <c r="F255" s="12"/>
      <c r="G255" s="12"/>
      <c r="H255" s="12"/>
      <c r="I255" s="10"/>
      <c r="J255" s="11"/>
      <c r="K255" s="11"/>
      <c r="L255" s="11"/>
      <c r="M255" s="11"/>
      <c r="N255" s="11"/>
      <c r="O255" s="10"/>
      <c r="P255" s="10"/>
      <c r="Q255" s="10"/>
      <c r="R255" s="10"/>
      <c r="S255" s="10"/>
      <c r="T255" s="10"/>
    </row>
    <row r="256" spans="1:20" s="2" customFormat="1" x14ac:dyDescent="0.25">
      <c r="A256" s="14"/>
      <c r="B256" s="13"/>
      <c r="C256" s="10"/>
      <c r="D256" s="10"/>
      <c r="E256" s="10"/>
      <c r="F256" s="12"/>
      <c r="G256" s="12"/>
      <c r="H256" s="12"/>
      <c r="I256" s="10"/>
      <c r="J256" s="11"/>
      <c r="K256" s="11"/>
      <c r="L256" s="11"/>
      <c r="M256" s="11"/>
      <c r="N256" s="11"/>
      <c r="O256" s="10"/>
      <c r="P256" s="10"/>
      <c r="Q256" s="10"/>
      <c r="R256" s="10"/>
      <c r="S256" s="10"/>
      <c r="T256" s="10"/>
    </row>
    <row r="257" spans="1:20" s="2" customFormat="1" x14ac:dyDescent="0.25">
      <c r="A257" s="14"/>
      <c r="B257" s="13"/>
      <c r="C257" s="10"/>
      <c r="D257" s="10"/>
      <c r="E257" s="10"/>
      <c r="F257" s="12"/>
      <c r="G257" s="12"/>
      <c r="H257" s="12"/>
      <c r="I257" s="10"/>
      <c r="J257" s="11"/>
      <c r="K257" s="11"/>
      <c r="L257" s="11"/>
      <c r="M257" s="11"/>
      <c r="N257" s="11"/>
      <c r="O257" s="10"/>
      <c r="P257" s="10"/>
      <c r="Q257" s="10"/>
      <c r="R257" s="10"/>
      <c r="S257" s="10"/>
      <c r="T257" s="10"/>
    </row>
    <row r="258" spans="1:20" s="2" customFormat="1" x14ac:dyDescent="0.25">
      <c r="A258" s="14"/>
      <c r="B258" s="13"/>
      <c r="C258" s="10"/>
      <c r="D258" s="10"/>
      <c r="E258" s="10"/>
      <c r="F258" s="12"/>
      <c r="G258" s="12"/>
      <c r="H258" s="12"/>
      <c r="I258" s="10"/>
      <c r="J258" s="11"/>
      <c r="K258" s="11"/>
      <c r="L258" s="11"/>
      <c r="M258" s="11"/>
      <c r="N258" s="11"/>
      <c r="O258" s="10"/>
      <c r="P258" s="10"/>
      <c r="Q258" s="10"/>
      <c r="R258" s="10"/>
      <c r="S258" s="10"/>
      <c r="T258" s="10"/>
    </row>
    <row r="259" spans="1:20" s="2" customFormat="1" x14ac:dyDescent="0.25">
      <c r="A259" s="14"/>
      <c r="B259" s="13"/>
      <c r="C259" s="10"/>
      <c r="D259" s="10"/>
      <c r="E259" s="10"/>
      <c r="F259" s="12"/>
      <c r="G259" s="12"/>
      <c r="H259" s="12"/>
      <c r="I259" s="10"/>
      <c r="J259" s="11"/>
      <c r="K259" s="11"/>
      <c r="L259" s="11"/>
      <c r="M259" s="11"/>
      <c r="N259" s="11"/>
      <c r="O259" s="10"/>
      <c r="P259" s="10"/>
      <c r="Q259" s="10"/>
      <c r="R259" s="10"/>
      <c r="S259" s="10"/>
      <c r="T259" s="10"/>
    </row>
    <row r="260" spans="1:20" s="2" customFormat="1" x14ac:dyDescent="0.25">
      <c r="A260" s="14"/>
      <c r="B260" s="13"/>
      <c r="C260" s="10"/>
      <c r="D260" s="10"/>
      <c r="E260" s="10"/>
      <c r="F260" s="12"/>
      <c r="G260" s="12"/>
      <c r="H260" s="12"/>
      <c r="I260" s="10"/>
      <c r="J260" s="11"/>
      <c r="K260" s="11"/>
      <c r="L260" s="11"/>
      <c r="M260" s="11"/>
      <c r="N260" s="11"/>
      <c r="O260" s="10"/>
      <c r="P260" s="10"/>
      <c r="Q260" s="10"/>
      <c r="R260" s="10"/>
      <c r="S260" s="10"/>
      <c r="T260" s="10"/>
    </row>
    <row r="261" spans="1:20" s="2" customFormat="1" x14ac:dyDescent="0.25">
      <c r="A261" s="14"/>
      <c r="B261" s="13"/>
      <c r="C261" s="10"/>
      <c r="D261" s="10"/>
      <c r="E261" s="10"/>
      <c r="F261" s="12"/>
      <c r="G261" s="12"/>
      <c r="H261" s="12"/>
      <c r="I261" s="10"/>
      <c r="J261" s="11"/>
      <c r="K261" s="11"/>
      <c r="L261" s="11"/>
      <c r="M261" s="11"/>
      <c r="N261" s="11"/>
      <c r="O261" s="10"/>
      <c r="P261" s="10"/>
      <c r="Q261" s="10"/>
      <c r="R261" s="10"/>
      <c r="S261" s="10"/>
      <c r="T261" s="10"/>
    </row>
    <row r="262" spans="1:20" s="2" customFormat="1" x14ac:dyDescent="0.25">
      <c r="A262" s="14"/>
      <c r="B262" s="13"/>
      <c r="C262" s="10"/>
      <c r="D262" s="10"/>
      <c r="E262" s="10"/>
      <c r="F262" s="12"/>
      <c r="G262" s="12"/>
      <c r="H262" s="12"/>
      <c r="I262" s="10"/>
      <c r="J262" s="11"/>
      <c r="K262" s="11"/>
      <c r="L262" s="11"/>
      <c r="M262" s="11"/>
      <c r="N262" s="11"/>
      <c r="O262" s="10"/>
      <c r="P262" s="10"/>
      <c r="Q262" s="10"/>
      <c r="R262" s="10"/>
      <c r="S262" s="10"/>
      <c r="T262" s="10"/>
    </row>
    <row r="263" spans="1:20" s="2" customFormat="1" x14ac:dyDescent="0.25">
      <c r="A263" s="14"/>
      <c r="B263" s="13"/>
      <c r="C263" s="10"/>
      <c r="D263" s="10"/>
      <c r="E263" s="10"/>
      <c r="F263" s="12"/>
      <c r="G263" s="12"/>
      <c r="H263" s="12"/>
      <c r="I263" s="10"/>
      <c r="J263" s="11"/>
      <c r="K263" s="11"/>
      <c r="L263" s="11"/>
      <c r="M263" s="11"/>
      <c r="N263" s="11"/>
      <c r="O263" s="10"/>
      <c r="P263" s="10"/>
      <c r="Q263" s="10"/>
      <c r="R263" s="10"/>
      <c r="S263" s="10"/>
      <c r="T263" s="10"/>
    </row>
    <row r="264" spans="1:20" s="2" customFormat="1" x14ac:dyDescent="0.25">
      <c r="A264" s="14"/>
      <c r="B264" s="13"/>
      <c r="C264" s="10"/>
      <c r="D264" s="10"/>
      <c r="E264" s="10"/>
      <c r="F264" s="12"/>
      <c r="G264" s="12"/>
      <c r="H264" s="12"/>
      <c r="I264" s="10"/>
      <c r="J264" s="11"/>
      <c r="K264" s="11"/>
      <c r="L264" s="11"/>
      <c r="M264" s="11"/>
      <c r="N264" s="11"/>
      <c r="O264" s="10"/>
      <c r="P264" s="10"/>
      <c r="Q264" s="10"/>
      <c r="R264" s="10"/>
      <c r="S264" s="10"/>
      <c r="T264" s="10"/>
    </row>
    <row r="265" spans="1:20" s="2" customFormat="1" x14ac:dyDescent="0.25">
      <c r="A265" s="14"/>
      <c r="B265" s="13"/>
      <c r="C265" s="10"/>
      <c r="D265" s="10"/>
      <c r="E265" s="10"/>
      <c r="F265" s="12"/>
      <c r="G265" s="12"/>
      <c r="H265" s="12"/>
      <c r="I265" s="10"/>
      <c r="J265" s="11"/>
      <c r="K265" s="11"/>
      <c r="L265" s="11"/>
      <c r="M265" s="11"/>
      <c r="N265" s="11"/>
      <c r="O265" s="10"/>
      <c r="P265" s="10"/>
      <c r="Q265" s="10"/>
      <c r="R265" s="10"/>
      <c r="S265" s="10"/>
      <c r="T265" s="10"/>
    </row>
    <row r="266" spans="1:20" s="2" customFormat="1" x14ac:dyDescent="0.25">
      <c r="A266" s="14"/>
      <c r="B266" s="13"/>
      <c r="C266" s="10"/>
      <c r="D266" s="10"/>
      <c r="E266" s="10"/>
      <c r="F266" s="12"/>
      <c r="G266" s="12"/>
      <c r="H266" s="12"/>
      <c r="I266" s="10"/>
      <c r="J266" s="11"/>
      <c r="K266" s="11"/>
      <c r="L266" s="11"/>
      <c r="M266" s="11"/>
      <c r="N266" s="11"/>
      <c r="O266" s="10"/>
      <c r="P266" s="10"/>
      <c r="Q266" s="10"/>
      <c r="R266" s="10"/>
      <c r="S266" s="10"/>
      <c r="T266" s="10"/>
    </row>
    <row r="267" spans="1:20" s="2" customFormat="1" x14ac:dyDescent="0.25">
      <c r="A267" s="14"/>
      <c r="B267" s="13"/>
      <c r="C267" s="10"/>
      <c r="D267" s="10"/>
      <c r="E267" s="10"/>
      <c r="F267" s="12"/>
      <c r="G267" s="12"/>
      <c r="H267" s="12"/>
      <c r="I267" s="10"/>
      <c r="J267" s="11"/>
      <c r="K267" s="11"/>
      <c r="L267" s="11"/>
      <c r="M267" s="11"/>
      <c r="N267" s="11"/>
      <c r="O267" s="10"/>
      <c r="P267" s="10"/>
      <c r="Q267" s="10"/>
      <c r="R267" s="10"/>
      <c r="S267" s="10"/>
      <c r="T267" s="10"/>
    </row>
    <row r="268" spans="1:20" s="2" customFormat="1" x14ac:dyDescent="0.25">
      <c r="A268" s="14"/>
      <c r="B268" s="13"/>
      <c r="C268" s="10"/>
      <c r="D268" s="10"/>
      <c r="E268" s="10"/>
      <c r="F268" s="12"/>
      <c r="G268" s="12"/>
      <c r="H268" s="12"/>
      <c r="I268" s="10"/>
      <c r="J268" s="11"/>
      <c r="K268" s="11"/>
      <c r="L268" s="11"/>
      <c r="M268" s="11"/>
      <c r="N268" s="11"/>
      <c r="O268" s="10"/>
      <c r="P268" s="10"/>
      <c r="Q268" s="10"/>
      <c r="R268" s="10"/>
      <c r="S268" s="10"/>
      <c r="T268" s="10"/>
    </row>
    <row r="269" spans="1:20" s="2" customFormat="1" x14ac:dyDescent="0.25">
      <c r="A269" s="14"/>
      <c r="B269" s="13"/>
      <c r="C269" s="10"/>
      <c r="D269" s="10"/>
      <c r="E269" s="10"/>
      <c r="F269" s="12"/>
      <c r="G269" s="12"/>
      <c r="H269" s="12"/>
      <c r="I269" s="10"/>
      <c r="J269" s="11"/>
      <c r="K269" s="11"/>
      <c r="L269" s="11"/>
      <c r="M269" s="11"/>
      <c r="N269" s="11"/>
      <c r="O269" s="10"/>
      <c r="P269" s="10"/>
      <c r="Q269" s="10"/>
      <c r="R269" s="10"/>
      <c r="S269" s="10"/>
      <c r="T269" s="10"/>
    </row>
    <row r="270" spans="1:20" s="2" customFormat="1" x14ac:dyDescent="0.25">
      <c r="A270" s="14"/>
      <c r="B270" s="13"/>
      <c r="C270" s="10"/>
      <c r="D270" s="10"/>
      <c r="E270" s="10"/>
      <c r="F270" s="12"/>
      <c r="G270" s="12"/>
      <c r="H270" s="12"/>
      <c r="I270" s="10"/>
      <c r="J270" s="11"/>
      <c r="K270" s="11"/>
      <c r="L270" s="11"/>
      <c r="M270" s="11"/>
      <c r="N270" s="11"/>
      <c r="O270" s="10"/>
      <c r="P270" s="10"/>
      <c r="Q270" s="10"/>
      <c r="R270" s="10"/>
      <c r="S270" s="10"/>
      <c r="T270" s="10"/>
    </row>
    <row r="271" spans="1:20" s="2" customFormat="1" x14ac:dyDescent="0.25">
      <c r="A271" s="14"/>
      <c r="B271" s="13"/>
      <c r="C271" s="10"/>
      <c r="D271" s="10"/>
      <c r="E271" s="10"/>
      <c r="F271" s="12"/>
      <c r="G271" s="12"/>
      <c r="H271" s="12"/>
      <c r="I271" s="10"/>
      <c r="J271" s="11"/>
      <c r="K271" s="11"/>
      <c r="L271" s="11"/>
      <c r="M271" s="11"/>
      <c r="N271" s="11"/>
      <c r="O271" s="10"/>
      <c r="P271" s="10"/>
      <c r="Q271" s="10"/>
      <c r="R271" s="10"/>
      <c r="S271" s="10"/>
      <c r="T271" s="10"/>
    </row>
    <row r="272" spans="1:20" s="2" customFormat="1" x14ac:dyDescent="0.25">
      <c r="A272" s="14"/>
      <c r="B272" s="13"/>
      <c r="C272" s="10"/>
      <c r="D272" s="10"/>
      <c r="E272" s="10"/>
      <c r="F272" s="12"/>
      <c r="G272" s="12"/>
      <c r="H272" s="12"/>
      <c r="I272" s="10"/>
      <c r="J272" s="11"/>
      <c r="K272" s="11"/>
      <c r="L272" s="11"/>
      <c r="M272" s="11"/>
      <c r="N272" s="11"/>
      <c r="O272" s="10"/>
      <c r="P272" s="10"/>
      <c r="Q272" s="10"/>
      <c r="R272" s="10"/>
      <c r="S272" s="10"/>
      <c r="T272" s="10"/>
    </row>
    <row r="273" spans="1:20" s="2" customFormat="1" x14ac:dyDescent="0.25">
      <c r="A273" s="14"/>
      <c r="B273" s="13"/>
      <c r="C273" s="10"/>
      <c r="D273" s="10"/>
      <c r="E273" s="10"/>
      <c r="F273" s="12"/>
      <c r="G273" s="12"/>
      <c r="H273" s="12"/>
      <c r="I273" s="10"/>
      <c r="J273" s="11"/>
      <c r="K273" s="11"/>
      <c r="L273" s="11"/>
      <c r="M273" s="11"/>
      <c r="N273" s="11"/>
      <c r="O273" s="10"/>
      <c r="P273" s="10"/>
      <c r="Q273" s="10"/>
      <c r="R273" s="10"/>
      <c r="S273" s="10"/>
      <c r="T273" s="10"/>
    </row>
    <row r="274" spans="1:20" s="2" customFormat="1" x14ac:dyDescent="0.25">
      <c r="A274" s="14"/>
      <c r="B274" s="13"/>
      <c r="C274" s="10"/>
      <c r="D274" s="10"/>
      <c r="E274" s="10"/>
      <c r="F274" s="12"/>
      <c r="G274" s="12"/>
      <c r="H274" s="12"/>
      <c r="I274" s="10"/>
      <c r="J274" s="11"/>
      <c r="K274" s="11"/>
      <c r="L274" s="11"/>
      <c r="M274" s="11"/>
      <c r="N274" s="11"/>
      <c r="O274" s="10"/>
      <c r="P274" s="10"/>
      <c r="Q274" s="10"/>
      <c r="R274" s="10"/>
      <c r="S274" s="10"/>
      <c r="T274" s="10"/>
    </row>
    <row r="275" spans="1:20" s="2" customFormat="1" x14ac:dyDescent="0.25">
      <c r="A275" s="14"/>
      <c r="B275" s="13"/>
      <c r="C275" s="10"/>
      <c r="D275" s="10"/>
      <c r="E275" s="10"/>
      <c r="F275" s="12"/>
      <c r="G275" s="12"/>
      <c r="H275" s="12"/>
      <c r="I275" s="10"/>
      <c r="J275" s="11"/>
      <c r="K275" s="11"/>
      <c r="L275" s="11"/>
      <c r="M275" s="11"/>
      <c r="N275" s="11"/>
      <c r="O275" s="10"/>
      <c r="P275" s="10"/>
      <c r="Q275" s="10"/>
      <c r="R275" s="10"/>
      <c r="S275" s="10"/>
      <c r="T275" s="10"/>
    </row>
    <row r="276" spans="1:20" s="2" customFormat="1" x14ac:dyDescent="0.25">
      <c r="A276" s="14"/>
      <c r="B276" s="13"/>
      <c r="C276" s="10"/>
      <c r="D276" s="10"/>
      <c r="E276" s="10"/>
      <c r="F276" s="12"/>
      <c r="G276" s="12"/>
      <c r="H276" s="12"/>
      <c r="I276" s="10"/>
      <c r="J276" s="11"/>
      <c r="K276" s="11"/>
      <c r="L276" s="11"/>
      <c r="M276" s="11"/>
      <c r="N276" s="11"/>
      <c r="O276" s="10"/>
      <c r="P276" s="10"/>
      <c r="Q276" s="10"/>
      <c r="R276" s="10"/>
      <c r="S276" s="10"/>
      <c r="T276" s="10"/>
    </row>
    <row r="277" spans="1:20" s="2" customFormat="1" x14ac:dyDescent="0.25">
      <c r="A277" s="14"/>
      <c r="B277" s="13"/>
      <c r="C277" s="10"/>
      <c r="D277" s="10"/>
      <c r="E277" s="10"/>
      <c r="F277" s="12"/>
      <c r="G277" s="12"/>
      <c r="H277" s="12"/>
      <c r="I277" s="10"/>
      <c r="J277" s="11"/>
      <c r="K277" s="11"/>
      <c r="L277" s="11"/>
      <c r="M277" s="11"/>
      <c r="N277" s="11"/>
      <c r="O277" s="10"/>
      <c r="P277" s="10"/>
      <c r="Q277" s="10"/>
      <c r="R277" s="10"/>
      <c r="S277" s="10"/>
      <c r="T277" s="10"/>
    </row>
    <row r="278" spans="1:20" s="2" customFormat="1" x14ac:dyDescent="0.25">
      <c r="A278" s="14"/>
      <c r="B278" s="13"/>
      <c r="C278" s="10"/>
      <c r="D278" s="10"/>
      <c r="E278" s="10"/>
      <c r="F278" s="12"/>
      <c r="G278" s="12"/>
      <c r="H278" s="12"/>
      <c r="I278" s="10"/>
      <c r="J278" s="11"/>
      <c r="K278" s="11"/>
      <c r="L278" s="11"/>
      <c r="M278" s="11"/>
      <c r="N278" s="11"/>
      <c r="O278" s="10"/>
      <c r="P278" s="10"/>
      <c r="Q278" s="10"/>
      <c r="R278" s="10"/>
      <c r="S278" s="10"/>
      <c r="T278" s="10"/>
    </row>
    <row r="279" spans="1:20" s="2" customFormat="1" x14ac:dyDescent="0.25">
      <c r="A279" s="14"/>
      <c r="B279" s="13"/>
      <c r="C279" s="10"/>
      <c r="D279" s="10"/>
      <c r="E279" s="10"/>
      <c r="F279" s="12"/>
      <c r="G279" s="12"/>
      <c r="H279" s="12"/>
      <c r="I279" s="10"/>
      <c r="J279" s="11"/>
      <c r="K279" s="11"/>
      <c r="L279" s="11"/>
      <c r="M279" s="11"/>
      <c r="N279" s="11"/>
      <c r="O279" s="10"/>
      <c r="P279" s="10"/>
      <c r="Q279" s="10"/>
      <c r="R279" s="10"/>
      <c r="S279" s="10"/>
      <c r="T279" s="10"/>
    </row>
    <row r="280" spans="1:20" s="2" customFormat="1" x14ac:dyDescent="0.25">
      <c r="A280" s="14"/>
      <c r="B280" s="13"/>
      <c r="C280" s="10"/>
      <c r="D280" s="10"/>
      <c r="E280" s="10"/>
      <c r="F280" s="12"/>
      <c r="G280" s="12"/>
      <c r="H280" s="12"/>
      <c r="I280" s="10"/>
      <c r="J280" s="11"/>
      <c r="K280" s="11"/>
      <c r="L280" s="11"/>
      <c r="M280" s="11"/>
      <c r="N280" s="11"/>
      <c r="O280" s="10"/>
      <c r="P280" s="10"/>
      <c r="Q280" s="10"/>
      <c r="R280" s="10"/>
      <c r="S280" s="10"/>
      <c r="T280" s="10"/>
    </row>
    <row r="281" spans="1:20" s="2" customFormat="1" x14ac:dyDescent="0.25">
      <c r="A281" s="14"/>
      <c r="B281" s="13"/>
      <c r="C281" s="10"/>
      <c r="D281" s="10"/>
      <c r="E281" s="10"/>
      <c r="F281" s="12"/>
      <c r="G281" s="12"/>
      <c r="H281" s="12"/>
      <c r="I281" s="10"/>
      <c r="J281" s="11"/>
      <c r="K281" s="11"/>
      <c r="L281" s="11"/>
      <c r="M281" s="11"/>
      <c r="N281" s="11"/>
      <c r="O281" s="10"/>
      <c r="P281" s="10"/>
      <c r="Q281" s="10"/>
      <c r="R281" s="10"/>
      <c r="S281" s="10"/>
      <c r="T281" s="10"/>
    </row>
    <row r="282" spans="1:20" s="2" customFormat="1" x14ac:dyDescent="0.25">
      <c r="A282" s="14"/>
      <c r="B282" s="13"/>
      <c r="C282" s="10"/>
      <c r="D282" s="10"/>
      <c r="E282" s="10"/>
      <c r="F282" s="12"/>
      <c r="G282" s="12"/>
      <c r="H282" s="12"/>
      <c r="I282" s="10"/>
      <c r="J282" s="11"/>
      <c r="K282" s="11"/>
      <c r="L282" s="11"/>
      <c r="M282" s="11"/>
      <c r="N282" s="11"/>
      <c r="O282" s="10"/>
      <c r="P282" s="10"/>
      <c r="Q282" s="10"/>
      <c r="R282" s="10"/>
      <c r="S282" s="10"/>
      <c r="T282" s="10"/>
    </row>
    <row r="283" spans="1:20" s="2" customFormat="1" x14ac:dyDescent="0.25">
      <c r="A283" s="14"/>
      <c r="B283" s="13"/>
      <c r="C283" s="10"/>
      <c r="D283" s="10"/>
      <c r="E283" s="10"/>
      <c r="F283" s="12"/>
      <c r="G283" s="12"/>
      <c r="H283" s="12"/>
      <c r="I283" s="10"/>
      <c r="J283" s="11"/>
      <c r="K283" s="11"/>
      <c r="L283" s="11"/>
      <c r="M283" s="11"/>
      <c r="N283" s="11"/>
      <c r="O283" s="10"/>
      <c r="P283" s="10"/>
      <c r="Q283" s="10"/>
      <c r="R283" s="10"/>
      <c r="S283" s="10"/>
      <c r="T283" s="10"/>
    </row>
    <row r="284" spans="1:20" s="2" customFormat="1" x14ac:dyDescent="0.25">
      <c r="A284" s="14"/>
      <c r="B284" s="13"/>
      <c r="C284" s="10"/>
      <c r="D284" s="10"/>
      <c r="E284" s="10"/>
      <c r="F284" s="12"/>
      <c r="G284" s="12"/>
      <c r="H284" s="12"/>
      <c r="I284" s="10"/>
      <c r="J284" s="11"/>
      <c r="K284" s="11"/>
      <c r="L284" s="11"/>
      <c r="M284" s="11"/>
      <c r="N284" s="11"/>
      <c r="O284" s="10"/>
      <c r="P284" s="10"/>
      <c r="Q284" s="10"/>
      <c r="R284" s="10"/>
      <c r="S284" s="10"/>
      <c r="T284" s="10"/>
    </row>
    <row r="285" spans="1:20" s="2" customFormat="1" x14ac:dyDescent="0.25">
      <c r="A285" s="14"/>
      <c r="B285" s="13"/>
      <c r="C285" s="10"/>
      <c r="D285" s="10"/>
      <c r="E285" s="10"/>
      <c r="F285" s="12"/>
      <c r="G285" s="12"/>
      <c r="H285" s="12"/>
      <c r="I285" s="10"/>
      <c r="J285" s="11"/>
      <c r="K285" s="11"/>
      <c r="L285" s="11"/>
      <c r="M285" s="11"/>
      <c r="N285" s="11"/>
      <c r="O285" s="10"/>
      <c r="P285" s="10"/>
      <c r="Q285" s="10"/>
      <c r="R285" s="10"/>
      <c r="S285" s="10"/>
      <c r="T285" s="10"/>
    </row>
    <row r="286" spans="1:20" s="2" customFormat="1" x14ac:dyDescent="0.25">
      <c r="A286" s="14"/>
      <c r="B286" s="13"/>
      <c r="C286" s="10"/>
      <c r="D286" s="10"/>
      <c r="E286" s="10"/>
      <c r="F286" s="12"/>
      <c r="G286" s="12"/>
      <c r="H286" s="12"/>
      <c r="I286" s="10"/>
      <c r="J286" s="11"/>
      <c r="K286" s="11"/>
      <c r="L286" s="11"/>
      <c r="M286" s="11"/>
      <c r="N286" s="11"/>
      <c r="O286" s="10"/>
      <c r="P286" s="10"/>
      <c r="Q286" s="10"/>
      <c r="R286" s="10"/>
      <c r="S286" s="10"/>
      <c r="T286" s="10"/>
    </row>
    <row r="287" spans="1:20" s="2" customFormat="1" x14ac:dyDescent="0.25">
      <c r="A287" s="14"/>
      <c r="B287" s="13"/>
      <c r="C287" s="10"/>
      <c r="D287" s="10"/>
      <c r="E287" s="10"/>
      <c r="F287" s="12"/>
      <c r="G287" s="12"/>
      <c r="H287" s="12"/>
      <c r="I287" s="10"/>
      <c r="J287" s="11"/>
      <c r="K287" s="11"/>
      <c r="L287" s="11"/>
      <c r="M287" s="11"/>
      <c r="N287" s="11"/>
      <c r="O287" s="10"/>
      <c r="P287" s="10"/>
      <c r="Q287" s="10"/>
      <c r="R287" s="10"/>
      <c r="S287" s="10"/>
      <c r="T287" s="10"/>
    </row>
    <row r="288" spans="1:20" s="2" customFormat="1" x14ac:dyDescent="0.25">
      <c r="A288" s="14"/>
      <c r="B288" s="13"/>
      <c r="C288" s="10"/>
      <c r="D288" s="10"/>
      <c r="E288" s="10"/>
      <c r="F288" s="12"/>
      <c r="G288" s="12"/>
      <c r="H288" s="12"/>
      <c r="I288" s="10"/>
      <c r="J288" s="11"/>
      <c r="K288" s="11"/>
      <c r="L288" s="11"/>
      <c r="M288" s="11"/>
      <c r="N288" s="11"/>
      <c r="O288" s="10"/>
      <c r="P288" s="10"/>
      <c r="Q288" s="10"/>
      <c r="R288" s="10"/>
      <c r="S288" s="10"/>
      <c r="T288" s="10"/>
    </row>
    <row r="289" spans="1:20" s="2" customFormat="1" x14ac:dyDescent="0.25">
      <c r="A289" s="14"/>
      <c r="B289" s="13"/>
      <c r="C289" s="10"/>
      <c r="D289" s="10"/>
      <c r="E289" s="10"/>
      <c r="F289" s="12"/>
      <c r="G289" s="12"/>
      <c r="H289" s="12"/>
      <c r="I289" s="10"/>
      <c r="J289" s="11"/>
      <c r="K289" s="11"/>
      <c r="L289" s="11"/>
      <c r="M289" s="11"/>
      <c r="N289" s="11"/>
      <c r="O289" s="10"/>
      <c r="P289" s="10"/>
      <c r="Q289" s="10"/>
      <c r="R289" s="10"/>
      <c r="S289" s="10"/>
      <c r="T289" s="10"/>
    </row>
    <row r="290" spans="1:20" s="2" customFormat="1" x14ac:dyDescent="0.25">
      <c r="A290" s="14"/>
      <c r="B290" s="13"/>
      <c r="C290" s="10"/>
      <c r="D290" s="10"/>
      <c r="E290" s="10"/>
      <c r="F290" s="12"/>
      <c r="G290" s="12"/>
      <c r="H290" s="12"/>
      <c r="I290" s="10"/>
      <c r="J290" s="11"/>
      <c r="K290" s="11"/>
      <c r="L290" s="11"/>
      <c r="M290" s="11"/>
      <c r="N290" s="11"/>
      <c r="O290" s="10"/>
      <c r="P290" s="10"/>
      <c r="Q290" s="10"/>
      <c r="R290" s="10"/>
      <c r="S290" s="10"/>
      <c r="T290" s="10"/>
    </row>
    <row r="291" spans="1:20" s="2" customFormat="1" x14ac:dyDescent="0.25">
      <c r="A291" s="14"/>
      <c r="B291" s="13"/>
      <c r="C291" s="10"/>
      <c r="D291" s="10"/>
      <c r="E291" s="10"/>
      <c r="F291" s="12"/>
      <c r="G291" s="12"/>
      <c r="H291" s="12"/>
      <c r="I291" s="10"/>
      <c r="J291" s="11"/>
      <c r="K291" s="11"/>
      <c r="L291" s="11"/>
      <c r="M291" s="11"/>
      <c r="N291" s="11"/>
      <c r="O291" s="10"/>
      <c r="P291" s="10"/>
      <c r="Q291" s="10"/>
      <c r="R291" s="10"/>
      <c r="S291" s="10"/>
      <c r="T291" s="10"/>
    </row>
    <row r="292" spans="1:20" s="2" customFormat="1" x14ac:dyDescent="0.25">
      <c r="A292" s="14"/>
      <c r="B292" s="13"/>
      <c r="C292" s="10"/>
      <c r="D292" s="10"/>
      <c r="E292" s="10"/>
      <c r="F292" s="12"/>
      <c r="G292" s="12"/>
      <c r="H292" s="12"/>
      <c r="I292" s="10"/>
      <c r="J292" s="11"/>
      <c r="K292" s="11"/>
      <c r="L292" s="11"/>
      <c r="M292" s="11"/>
      <c r="N292" s="11"/>
      <c r="O292" s="10"/>
      <c r="P292" s="10"/>
      <c r="Q292" s="10"/>
      <c r="R292" s="10"/>
      <c r="S292" s="10"/>
      <c r="T292" s="10"/>
    </row>
    <row r="293" spans="1:20" s="2" customFormat="1" x14ac:dyDescent="0.25">
      <c r="A293" s="14"/>
      <c r="B293" s="13"/>
      <c r="C293" s="10"/>
      <c r="D293" s="10"/>
      <c r="E293" s="10"/>
      <c r="F293" s="12"/>
      <c r="G293" s="12"/>
      <c r="H293" s="12"/>
      <c r="I293" s="10"/>
      <c r="J293" s="11"/>
      <c r="K293" s="11"/>
      <c r="L293" s="11"/>
      <c r="M293" s="11"/>
      <c r="N293" s="11"/>
      <c r="O293" s="10"/>
      <c r="P293" s="10"/>
      <c r="Q293" s="10"/>
      <c r="R293" s="10"/>
      <c r="S293" s="10"/>
      <c r="T293" s="10"/>
    </row>
    <row r="294" spans="1:20" s="2" customFormat="1" x14ac:dyDescent="0.25">
      <c r="A294" s="14"/>
      <c r="B294" s="13"/>
      <c r="C294" s="10"/>
      <c r="D294" s="10"/>
      <c r="E294" s="10"/>
      <c r="F294" s="12"/>
      <c r="G294" s="12"/>
      <c r="H294" s="12"/>
      <c r="I294" s="10"/>
      <c r="J294" s="11"/>
      <c r="K294" s="11"/>
      <c r="L294" s="11"/>
      <c r="M294" s="11"/>
      <c r="N294" s="11"/>
      <c r="O294" s="10"/>
      <c r="P294" s="10"/>
      <c r="Q294" s="10"/>
      <c r="R294" s="10"/>
      <c r="S294" s="10"/>
      <c r="T294" s="10"/>
    </row>
    <row r="295" spans="1:20" s="2" customFormat="1" x14ac:dyDescent="0.25">
      <c r="A295" s="14"/>
      <c r="B295" s="13"/>
      <c r="C295" s="10"/>
      <c r="D295" s="10"/>
      <c r="E295" s="10"/>
      <c r="F295" s="12"/>
      <c r="G295" s="12"/>
      <c r="H295" s="12"/>
      <c r="I295" s="10"/>
      <c r="J295" s="11"/>
      <c r="K295" s="11"/>
      <c r="L295" s="11"/>
      <c r="M295" s="11"/>
      <c r="N295" s="11"/>
      <c r="O295" s="10"/>
      <c r="P295" s="10"/>
      <c r="Q295" s="10"/>
      <c r="R295" s="10"/>
      <c r="S295" s="10"/>
      <c r="T295" s="10"/>
    </row>
    <row r="296" spans="1:20" s="2" customFormat="1" x14ac:dyDescent="0.25">
      <c r="A296" s="14"/>
      <c r="B296" s="13"/>
      <c r="C296" s="10"/>
      <c r="D296" s="10"/>
      <c r="E296" s="10"/>
      <c r="F296" s="12"/>
      <c r="G296" s="12"/>
      <c r="H296" s="12"/>
      <c r="I296" s="10"/>
      <c r="J296" s="11"/>
      <c r="K296" s="11"/>
      <c r="L296" s="11"/>
      <c r="M296" s="11"/>
      <c r="N296" s="11"/>
      <c r="O296" s="10"/>
      <c r="P296" s="10"/>
      <c r="Q296" s="10"/>
      <c r="R296" s="10"/>
      <c r="S296" s="10"/>
      <c r="T296" s="10"/>
    </row>
    <row r="297" spans="1:20" s="2" customFormat="1" x14ac:dyDescent="0.25">
      <c r="A297" s="14"/>
      <c r="B297" s="13"/>
      <c r="C297" s="10"/>
      <c r="D297" s="10"/>
      <c r="E297" s="10"/>
      <c r="F297" s="12"/>
      <c r="G297" s="12"/>
      <c r="H297" s="12"/>
      <c r="I297" s="10"/>
      <c r="J297" s="11"/>
      <c r="K297" s="11"/>
      <c r="L297" s="11"/>
      <c r="M297" s="11"/>
      <c r="N297" s="11"/>
      <c r="O297" s="10"/>
      <c r="P297" s="10"/>
      <c r="Q297" s="10"/>
      <c r="R297" s="10"/>
      <c r="S297" s="10"/>
      <c r="T297" s="10"/>
    </row>
    <row r="298" spans="1:20" s="2" customFormat="1" x14ac:dyDescent="0.25">
      <c r="A298" s="14"/>
      <c r="B298" s="13"/>
      <c r="C298" s="10"/>
      <c r="D298" s="10"/>
      <c r="E298" s="10"/>
      <c r="F298" s="12"/>
      <c r="G298" s="12"/>
      <c r="H298" s="12"/>
      <c r="I298" s="10"/>
      <c r="J298" s="11"/>
      <c r="K298" s="11"/>
      <c r="L298" s="11"/>
      <c r="M298" s="11"/>
      <c r="N298" s="11"/>
      <c r="O298" s="10"/>
      <c r="P298" s="10"/>
      <c r="Q298" s="10"/>
      <c r="R298" s="10"/>
      <c r="S298" s="10"/>
      <c r="T298" s="10"/>
    </row>
    <row r="299" spans="1:20" s="2" customFormat="1" x14ac:dyDescent="0.25">
      <c r="A299" s="14"/>
      <c r="B299" s="13"/>
      <c r="C299" s="10"/>
      <c r="D299" s="10"/>
      <c r="E299" s="10"/>
      <c r="F299" s="12"/>
      <c r="G299" s="12"/>
      <c r="H299" s="12"/>
      <c r="I299" s="10"/>
      <c r="J299" s="11"/>
      <c r="K299" s="11"/>
      <c r="L299" s="11"/>
      <c r="M299" s="11"/>
      <c r="N299" s="11"/>
      <c r="O299" s="10"/>
      <c r="P299" s="10"/>
      <c r="Q299" s="10"/>
      <c r="R299" s="10"/>
      <c r="S299" s="10"/>
      <c r="T299" s="10"/>
    </row>
    <row r="300" spans="1:20" s="2" customFormat="1" x14ac:dyDescent="0.25">
      <c r="A300" s="14"/>
      <c r="B300" s="13"/>
      <c r="C300" s="10"/>
      <c r="D300" s="10"/>
      <c r="E300" s="10"/>
      <c r="F300" s="12"/>
      <c r="G300" s="12"/>
      <c r="H300" s="12"/>
      <c r="I300" s="10"/>
      <c r="J300" s="11"/>
      <c r="K300" s="11"/>
      <c r="L300" s="11"/>
      <c r="M300" s="11"/>
      <c r="N300" s="11"/>
      <c r="O300" s="10"/>
      <c r="P300" s="10"/>
      <c r="Q300" s="10"/>
      <c r="R300" s="10"/>
      <c r="S300" s="10"/>
      <c r="T300" s="10"/>
    </row>
    <row r="301" spans="1:20" s="2" customFormat="1" x14ac:dyDescent="0.25">
      <c r="A301" s="14"/>
      <c r="B301" s="13"/>
      <c r="C301" s="10"/>
      <c r="D301" s="10"/>
      <c r="E301" s="10"/>
      <c r="F301" s="12"/>
      <c r="G301" s="12"/>
      <c r="H301" s="12"/>
      <c r="I301" s="10"/>
      <c r="J301" s="11"/>
      <c r="K301" s="11"/>
      <c r="L301" s="11"/>
      <c r="M301" s="11"/>
      <c r="N301" s="11"/>
      <c r="O301" s="10"/>
      <c r="P301" s="10"/>
      <c r="Q301" s="10"/>
      <c r="R301" s="10"/>
      <c r="S301" s="10"/>
      <c r="T301" s="10"/>
    </row>
    <row r="302" spans="1:20" s="2" customFormat="1" x14ac:dyDescent="0.25">
      <c r="A302" s="14"/>
      <c r="B302" s="13"/>
      <c r="C302" s="10"/>
      <c r="D302" s="10"/>
      <c r="E302" s="10"/>
      <c r="F302" s="12"/>
      <c r="G302" s="12"/>
      <c r="H302" s="12"/>
      <c r="I302" s="10"/>
      <c r="J302" s="11"/>
      <c r="K302" s="11"/>
      <c r="L302" s="11"/>
      <c r="M302" s="11"/>
      <c r="N302" s="11"/>
      <c r="O302" s="10"/>
      <c r="P302" s="10"/>
      <c r="Q302" s="10"/>
      <c r="R302" s="10"/>
      <c r="S302" s="10"/>
      <c r="T302" s="10"/>
    </row>
    <row r="303" spans="1:20" s="2" customFormat="1" x14ac:dyDescent="0.25">
      <c r="A303" s="14"/>
      <c r="B303" s="13"/>
      <c r="C303" s="10"/>
      <c r="D303" s="10"/>
      <c r="E303" s="10"/>
      <c r="F303" s="12"/>
      <c r="G303" s="12"/>
      <c r="H303" s="12"/>
      <c r="I303" s="10"/>
      <c r="J303" s="11"/>
      <c r="K303" s="11"/>
      <c r="L303" s="11"/>
      <c r="M303" s="11"/>
      <c r="N303" s="11"/>
      <c r="O303" s="10"/>
      <c r="P303" s="10"/>
      <c r="Q303" s="10"/>
      <c r="R303" s="10"/>
      <c r="S303" s="10"/>
      <c r="T303" s="10"/>
    </row>
    <row r="304" spans="1:20" s="2" customFormat="1" x14ac:dyDescent="0.25">
      <c r="A304" s="14"/>
      <c r="B304" s="13"/>
      <c r="C304" s="10"/>
      <c r="D304" s="10"/>
      <c r="E304" s="10"/>
      <c r="F304" s="12"/>
      <c r="G304" s="12"/>
      <c r="H304" s="12"/>
      <c r="I304" s="10"/>
      <c r="J304" s="11"/>
      <c r="K304" s="11"/>
      <c r="L304" s="11"/>
      <c r="M304" s="11"/>
      <c r="N304" s="11"/>
      <c r="O304" s="10"/>
      <c r="P304" s="10"/>
      <c r="Q304" s="10"/>
      <c r="R304" s="10"/>
      <c r="S304" s="10"/>
      <c r="T304" s="10"/>
    </row>
    <row r="305" spans="1:20" s="2" customFormat="1" x14ac:dyDescent="0.25">
      <c r="A305" s="14"/>
      <c r="B305" s="13"/>
      <c r="C305" s="10"/>
      <c r="D305" s="10"/>
      <c r="E305" s="10"/>
      <c r="F305" s="12"/>
      <c r="G305" s="12"/>
      <c r="H305" s="12"/>
      <c r="I305" s="10"/>
      <c r="J305" s="11"/>
      <c r="K305" s="11"/>
      <c r="L305" s="11"/>
      <c r="M305" s="11"/>
      <c r="N305" s="11"/>
      <c r="O305" s="10"/>
      <c r="P305" s="10"/>
      <c r="Q305" s="10"/>
      <c r="R305" s="10"/>
      <c r="S305" s="10"/>
      <c r="T305" s="10"/>
    </row>
    <row r="306" spans="1:20" s="2" customFormat="1" x14ac:dyDescent="0.25">
      <c r="A306" s="14"/>
      <c r="B306" s="13"/>
      <c r="C306" s="10"/>
      <c r="D306" s="10"/>
      <c r="E306" s="10"/>
      <c r="F306" s="12"/>
      <c r="G306" s="12"/>
      <c r="H306" s="12"/>
      <c r="I306" s="10"/>
      <c r="J306" s="11"/>
      <c r="K306" s="11"/>
      <c r="L306" s="11"/>
      <c r="M306" s="11"/>
      <c r="N306" s="11"/>
      <c r="O306" s="10"/>
      <c r="P306" s="10"/>
      <c r="Q306" s="10"/>
      <c r="R306" s="10"/>
      <c r="S306" s="10"/>
      <c r="T306" s="10"/>
    </row>
    <row r="307" spans="1:20" s="2" customFormat="1" x14ac:dyDescent="0.25">
      <c r="A307" s="14"/>
      <c r="B307" s="13"/>
      <c r="C307" s="10"/>
      <c r="D307" s="10"/>
      <c r="E307" s="10"/>
      <c r="F307" s="12"/>
      <c r="G307" s="12"/>
      <c r="H307" s="12"/>
      <c r="I307" s="10"/>
      <c r="J307" s="11"/>
      <c r="K307" s="11"/>
      <c r="L307" s="11"/>
      <c r="M307" s="11"/>
      <c r="N307" s="11"/>
      <c r="O307" s="10"/>
      <c r="P307" s="10"/>
      <c r="Q307" s="10"/>
      <c r="R307" s="10"/>
      <c r="S307" s="10"/>
      <c r="T307" s="10"/>
    </row>
    <row r="308" spans="1:20" s="2" customFormat="1" x14ac:dyDescent="0.25">
      <c r="A308" s="14"/>
      <c r="B308" s="13"/>
      <c r="C308" s="10"/>
      <c r="D308" s="10"/>
      <c r="E308" s="10"/>
      <c r="F308" s="12"/>
      <c r="G308" s="12"/>
      <c r="H308" s="12"/>
      <c r="I308" s="10"/>
      <c r="J308" s="11"/>
      <c r="K308" s="11"/>
      <c r="L308" s="11"/>
      <c r="M308" s="11"/>
      <c r="N308" s="11"/>
      <c r="O308" s="10"/>
      <c r="P308" s="10"/>
      <c r="Q308" s="10"/>
      <c r="R308" s="10"/>
      <c r="S308" s="10"/>
      <c r="T308" s="10"/>
    </row>
    <row r="309" spans="1:20" s="2" customFormat="1" x14ac:dyDescent="0.25">
      <c r="A309" s="14"/>
      <c r="B309" s="13"/>
      <c r="C309" s="10"/>
      <c r="D309" s="10"/>
      <c r="E309" s="10"/>
      <c r="F309" s="12"/>
      <c r="G309" s="12"/>
      <c r="H309" s="12"/>
      <c r="I309" s="10"/>
      <c r="J309" s="11"/>
      <c r="K309" s="11"/>
      <c r="L309" s="11"/>
      <c r="M309" s="11"/>
      <c r="N309" s="11"/>
      <c r="O309" s="10"/>
      <c r="P309" s="10"/>
      <c r="Q309" s="10"/>
      <c r="R309" s="10"/>
      <c r="S309" s="10"/>
      <c r="T309" s="10"/>
    </row>
    <row r="310" spans="1:20" s="2" customFormat="1" x14ac:dyDescent="0.25">
      <c r="A310" s="14"/>
      <c r="B310" s="13"/>
      <c r="C310" s="10"/>
      <c r="D310" s="10"/>
      <c r="E310" s="10"/>
      <c r="F310" s="12"/>
      <c r="G310" s="12"/>
      <c r="H310" s="12"/>
      <c r="I310" s="10"/>
      <c r="J310" s="11"/>
      <c r="K310" s="11"/>
      <c r="L310" s="11"/>
      <c r="M310" s="11"/>
      <c r="N310" s="11"/>
      <c r="O310" s="10"/>
      <c r="P310" s="10"/>
      <c r="Q310" s="10"/>
      <c r="R310" s="10"/>
      <c r="S310" s="10"/>
      <c r="T310" s="10"/>
    </row>
    <row r="311" spans="1:20" s="2" customFormat="1" x14ac:dyDescent="0.25">
      <c r="A311" s="14"/>
      <c r="B311" s="13"/>
      <c r="C311" s="10"/>
      <c r="D311" s="10"/>
      <c r="E311" s="10"/>
      <c r="F311" s="12"/>
      <c r="G311" s="12"/>
      <c r="H311" s="12"/>
      <c r="I311" s="10"/>
      <c r="J311" s="11"/>
      <c r="K311" s="11"/>
      <c r="L311" s="11"/>
      <c r="M311" s="11"/>
      <c r="N311" s="11"/>
      <c r="O311" s="10"/>
      <c r="P311" s="10"/>
      <c r="Q311" s="10"/>
      <c r="R311" s="10"/>
      <c r="S311" s="10"/>
      <c r="T311" s="10"/>
    </row>
    <row r="312" spans="1:20" s="2" customFormat="1" x14ac:dyDescent="0.25">
      <c r="A312" s="14"/>
      <c r="B312" s="13"/>
      <c r="C312" s="10"/>
      <c r="D312" s="10"/>
      <c r="E312" s="10"/>
      <c r="F312" s="12"/>
      <c r="G312" s="12"/>
      <c r="H312" s="12"/>
      <c r="I312" s="10"/>
      <c r="J312" s="11"/>
      <c r="K312" s="11"/>
      <c r="L312" s="11"/>
      <c r="M312" s="11"/>
      <c r="N312" s="11"/>
      <c r="O312" s="10"/>
      <c r="P312" s="10"/>
      <c r="Q312" s="10"/>
      <c r="R312" s="10"/>
      <c r="S312" s="10"/>
      <c r="T312" s="10"/>
    </row>
    <row r="313" spans="1:20" s="2" customFormat="1" x14ac:dyDescent="0.25">
      <c r="A313" s="14"/>
      <c r="B313" s="13"/>
      <c r="C313" s="10"/>
      <c r="D313" s="10"/>
      <c r="E313" s="10"/>
      <c r="F313" s="12"/>
      <c r="G313" s="12"/>
      <c r="H313" s="12"/>
      <c r="I313" s="10"/>
      <c r="J313" s="11"/>
      <c r="K313" s="11"/>
      <c r="L313" s="11"/>
      <c r="M313" s="11"/>
      <c r="N313" s="11"/>
      <c r="O313" s="10"/>
      <c r="P313" s="10"/>
      <c r="Q313" s="10"/>
      <c r="R313" s="10"/>
      <c r="S313" s="10"/>
      <c r="T313" s="10"/>
    </row>
    <row r="314" spans="1:20" s="2" customFormat="1" x14ac:dyDescent="0.25">
      <c r="A314" s="14"/>
      <c r="B314" s="13"/>
      <c r="C314" s="10"/>
      <c r="D314" s="10"/>
      <c r="E314" s="10"/>
      <c r="F314" s="12"/>
      <c r="G314" s="12"/>
      <c r="H314" s="12"/>
      <c r="I314" s="10"/>
      <c r="J314" s="11"/>
      <c r="K314" s="11"/>
      <c r="L314" s="11"/>
      <c r="M314" s="11"/>
      <c r="N314" s="11"/>
      <c r="O314" s="10"/>
      <c r="P314" s="10"/>
      <c r="Q314" s="10"/>
      <c r="R314" s="10"/>
      <c r="S314" s="10"/>
      <c r="T314" s="10"/>
    </row>
    <row r="315" spans="1:20" s="2" customFormat="1" x14ac:dyDescent="0.25">
      <c r="A315" s="14"/>
      <c r="B315" s="13"/>
      <c r="C315" s="10"/>
      <c r="D315" s="10"/>
      <c r="E315" s="10"/>
      <c r="F315" s="12"/>
      <c r="G315" s="12"/>
      <c r="H315" s="12"/>
      <c r="I315" s="10"/>
      <c r="J315" s="11"/>
      <c r="K315" s="11"/>
      <c r="L315" s="11"/>
      <c r="M315" s="11"/>
      <c r="N315" s="11"/>
      <c r="O315" s="10"/>
      <c r="P315" s="10"/>
      <c r="Q315" s="10"/>
      <c r="R315" s="10"/>
      <c r="S315" s="10"/>
      <c r="T315" s="10"/>
    </row>
    <row r="316" spans="1:20" s="2" customFormat="1" x14ac:dyDescent="0.25">
      <c r="A316" s="14"/>
      <c r="B316" s="13"/>
      <c r="C316" s="10"/>
      <c r="D316" s="10"/>
      <c r="E316" s="10"/>
      <c r="F316" s="12"/>
      <c r="G316" s="12"/>
      <c r="H316" s="12"/>
      <c r="I316" s="10"/>
      <c r="J316" s="11"/>
      <c r="K316" s="11"/>
      <c r="L316" s="11"/>
      <c r="M316" s="11"/>
      <c r="N316" s="11"/>
      <c r="O316" s="10"/>
      <c r="P316" s="10"/>
      <c r="Q316" s="10"/>
      <c r="R316" s="10"/>
      <c r="S316" s="10"/>
      <c r="T316" s="10"/>
    </row>
    <row r="317" spans="1:20" s="2" customFormat="1" x14ac:dyDescent="0.25">
      <c r="A317" s="14"/>
      <c r="B317" s="13"/>
      <c r="C317" s="10"/>
      <c r="D317" s="10"/>
      <c r="E317" s="10"/>
      <c r="F317" s="12"/>
      <c r="G317" s="12"/>
      <c r="H317" s="12"/>
      <c r="I317" s="10"/>
      <c r="J317" s="11"/>
      <c r="K317" s="11"/>
      <c r="L317" s="11"/>
      <c r="M317" s="11"/>
      <c r="N317" s="11"/>
      <c r="O317" s="10"/>
      <c r="P317" s="10"/>
      <c r="Q317" s="10"/>
      <c r="R317" s="10"/>
      <c r="S317" s="10"/>
      <c r="T317" s="10"/>
    </row>
    <row r="318" spans="1:20" s="2" customFormat="1" x14ac:dyDescent="0.25">
      <c r="A318" s="14"/>
      <c r="B318" s="13"/>
      <c r="C318" s="10"/>
      <c r="D318" s="10"/>
      <c r="E318" s="10"/>
      <c r="F318" s="12"/>
      <c r="G318" s="12"/>
      <c r="H318" s="12"/>
      <c r="I318" s="10"/>
      <c r="J318" s="11"/>
      <c r="K318" s="11"/>
      <c r="L318" s="11"/>
      <c r="M318" s="11"/>
      <c r="N318" s="11"/>
      <c r="O318" s="10"/>
      <c r="P318" s="10"/>
      <c r="Q318" s="10"/>
      <c r="R318" s="10"/>
      <c r="S318" s="10"/>
      <c r="T318" s="10"/>
    </row>
    <row r="319" spans="1:20" s="2" customFormat="1" x14ac:dyDescent="0.25">
      <c r="A319" s="14"/>
      <c r="B319" s="13"/>
      <c r="C319" s="10"/>
      <c r="D319" s="10"/>
      <c r="E319" s="10"/>
      <c r="F319" s="12"/>
      <c r="G319" s="12"/>
      <c r="H319" s="12"/>
      <c r="I319" s="10"/>
      <c r="J319" s="11"/>
      <c r="K319" s="11"/>
      <c r="L319" s="11"/>
      <c r="M319" s="11"/>
      <c r="N319" s="11"/>
      <c r="O319" s="10"/>
      <c r="P319" s="10"/>
      <c r="Q319" s="10"/>
      <c r="R319" s="10"/>
      <c r="S319" s="10"/>
      <c r="T319" s="10"/>
    </row>
    <row r="320" spans="1:20" s="2" customFormat="1" x14ac:dyDescent="0.25">
      <c r="A320" s="14"/>
      <c r="B320" s="13"/>
      <c r="C320" s="10"/>
      <c r="D320" s="10"/>
      <c r="E320" s="10"/>
      <c r="F320" s="12"/>
      <c r="G320" s="12"/>
      <c r="H320" s="12"/>
      <c r="I320" s="10"/>
      <c r="J320" s="11"/>
      <c r="K320" s="11"/>
      <c r="L320" s="11"/>
      <c r="M320" s="11"/>
      <c r="N320" s="11"/>
      <c r="O320" s="10"/>
      <c r="P320" s="10"/>
      <c r="Q320" s="10"/>
      <c r="R320" s="10"/>
      <c r="S320" s="10"/>
      <c r="T320" s="10"/>
    </row>
    <row r="321" spans="1:20" s="2" customFormat="1" x14ac:dyDescent="0.25">
      <c r="A321" s="14"/>
      <c r="B321" s="13"/>
      <c r="C321" s="10"/>
      <c r="D321" s="10"/>
      <c r="E321" s="10"/>
      <c r="F321" s="12"/>
      <c r="G321" s="12"/>
      <c r="H321" s="12"/>
      <c r="I321" s="10"/>
      <c r="J321" s="11"/>
      <c r="K321" s="11"/>
      <c r="L321" s="11"/>
      <c r="M321" s="11"/>
      <c r="N321" s="11"/>
      <c r="O321" s="10"/>
      <c r="P321" s="10"/>
      <c r="Q321" s="10"/>
      <c r="R321" s="10"/>
      <c r="S321" s="10"/>
      <c r="T321" s="10"/>
    </row>
    <row r="322" spans="1:20" s="2" customFormat="1" x14ac:dyDescent="0.25">
      <c r="A322" s="14"/>
      <c r="B322" s="13"/>
      <c r="C322" s="10"/>
      <c r="D322" s="10"/>
      <c r="E322" s="10"/>
      <c r="F322" s="12"/>
      <c r="G322" s="12"/>
      <c r="H322" s="12"/>
      <c r="I322" s="10"/>
      <c r="J322" s="11"/>
      <c r="K322" s="11"/>
      <c r="L322" s="11"/>
      <c r="M322" s="11"/>
      <c r="N322" s="11"/>
      <c r="O322" s="10"/>
      <c r="P322" s="10"/>
      <c r="Q322" s="10"/>
      <c r="R322" s="10"/>
      <c r="S322" s="10"/>
      <c r="T322" s="10"/>
    </row>
    <row r="323" spans="1:20" s="2" customFormat="1" x14ac:dyDescent="0.25">
      <c r="A323" s="14"/>
      <c r="B323" s="13"/>
      <c r="C323" s="10"/>
      <c r="D323" s="10"/>
      <c r="E323" s="10"/>
      <c r="F323" s="12"/>
      <c r="G323" s="12"/>
      <c r="H323" s="12"/>
      <c r="I323" s="10"/>
      <c r="J323" s="11"/>
      <c r="K323" s="11"/>
      <c r="L323" s="11"/>
      <c r="M323" s="11"/>
      <c r="N323" s="11"/>
      <c r="O323" s="10"/>
      <c r="P323" s="10"/>
      <c r="Q323" s="10"/>
      <c r="R323" s="10"/>
      <c r="S323" s="10"/>
      <c r="T323" s="10"/>
    </row>
    <row r="324" spans="1:20" s="2" customFormat="1" x14ac:dyDescent="0.25">
      <c r="A324" s="14"/>
      <c r="B324" s="13"/>
      <c r="C324" s="10"/>
      <c r="D324" s="10"/>
      <c r="E324" s="10"/>
      <c r="F324" s="12"/>
      <c r="G324" s="12"/>
      <c r="H324" s="12"/>
      <c r="I324" s="10"/>
      <c r="J324" s="11"/>
      <c r="K324" s="11"/>
      <c r="L324" s="11"/>
      <c r="M324" s="11"/>
      <c r="N324" s="11"/>
      <c r="O324" s="10"/>
      <c r="P324" s="10"/>
      <c r="Q324" s="10"/>
      <c r="R324" s="10"/>
      <c r="S324" s="10"/>
      <c r="T324" s="10"/>
    </row>
    <row r="325" spans="1:20" s="2" customFormat="1" x14ac:dyDescent="0.25">
      <c r="A325" s="14"/>
      <c r="B325" s="13"/>
      <c r="C325" s="10"/>
      <c r="D325" s="10"/>
      <c r="E325" s="10"/>
      <c r="F325" s="12"/>
      <c r="G325" s="12"/>
      <c r="H325" s="12"/>
      <c r="I325" s="10"/>
      <c r="J325" s="11"/>
      <c r="K325" s="11"/>
      <c r="L325" s="11"/>
      <c r="M325" s="11"/>
      <c r="N325" s="11"/>
      <c r="O325" s="10"/>
      <c r="P325" s="10"/>
      <c r="Q325" s="10"/>
      <c r="R325" s="10"/>
      <c r="S325" s="10"/>
      <c r="T325" s="10"/>
    </row>
    <row r="326" spans="1:20" s="2" customFormat="1" x14ac:dyDescent="0.25">
      <c r="A326" s="14"/>
      <c r="B326" s="13"/>
      <c r="C326" s="10"/>
      <c r="D326" s="10"/>
      <c r="E326" s="10"/>
      <c r="F326" s="12"/>
      <c r="G326" s="12"/>
      <c r="H326" s="12"/>
      <c r="I326" s="10"/>
      <c r="J326" s="11"/>
      <c r="K326" s="11"/>
      <c r="L326" s="11"/>
      <c r="M326" s="11"/>
      <c r="N326" s="11"/>
      <c r="O326" s="10"/>
      <c r="P326" s="10"/>
      <c r="Q326" s="10"/>
      <c r="R326" s="10"/>
      <c r="S326" s="10"/>
      <c r="T326" s="10"/>
    </row>
    <row r="327" spans="1:20" s="2" customFormat="1" x14ac:dyDescent="0.25">
      <c r="A327" s="14"/>
      <c r="B327" s="13"/>
      <c r="C327" s="10"/>
      <c r="D327" s="10"/>
      <c r="E327" s="10"/>
      <c r="F327" s="12"/>
      <c r="G327" s="12"/>
      <c r="H327" s="12"/>
      <c r="I327" s="10"/>
      <c r="J327" s="11"/>
      <c r="K327" s="11"/>
      <c r="L327" s="11"/>
      <c r="M327" s="11"/>
      <c r="N327" s="11"/>
      <c r="O327" s="10"/>
      <c r="P327" s="10"/>
      <c r="Q327" s="10"/>
      <c r="R327" s="10"/>
      <c r="S327" s="10"/>
      <c r="T327" s="10"/>
    </row>
    <row r="328" spans="1:20" s="2" customFormat="1" x14ac:dyDescent="0.25">
      <c r="A328" s="14"/>
      <c r="B328" s="13"/>
      <c r="C328" s="10"/>
      <c r="D328" s="10"/>
      <c r="E328" s="10"/>
      <c r="F328" s="12"/>
      <c r="G328" s="12"/>
      <c r="H328" s="12"/>
      <c r="I328" s="10"/>
      <c r="J328" s="11"/>
      <c r="K328" s="11"/>
      <c r="L328" s="11"/>
      <c r="M328" s="11"/>
      <c r="N328" s="11"/>
      <c r="O328" s="10"/>
      <c r="P328" s="10"/>
      <c r="Q328" s="10"/>
      <c r="R328" s="10"/>
      <c r="S328" s="10"/>
      <c r="T328" s="10"/>
    </row>
    <row r="329" spans="1:20" s="2" customFormat="1" x14ac:dyDescent="0.25">
      <c r="A329" s="14"/>
      <c r="B329" s="13"/>
      <c r="C329" s="10"/>
      <c r="D329" s="10"/>
      <c r="E329" s="10"/>
      <c r="F329" s="12"/>
      <c r="G329" s="12"/>
      <c r="H329" s="12"/>
      <c r="I329" s="10"/>
      <c r="J329" s="11"/>
      <c r="K329" s="11"/>
      <c r="L329" s="11"/>
      <c r="M329" s="11"/>
      <c r="N329" s="11"/>
      <c r="O329" s="10"/>
      <c r="P329" s="10"/>
      <c r="Q329" s="10"/>
      <c r="R329" s="10"/>
      <c r="S329" s="10"/>
      <c r="T329" s="10"/>
    </row>
    <row r="330" spans="1:20" s="2" customFormat="1" x14ac:dyDescent="0.25">
      <c r="A330" s="14"/>
      <c r="B330" s="13"/>
      <c r="C330" s="10"/>
      <c r="D330" s="10"/>
      <c r="E330" s="10"/>
      <c r="F330" s="12"/>
      <c r="G330" s="12"/>
      <c r="H330" s="12"/>
      <c r="I330" s="10"/>
      <c r="J330" s="11"/>
      <c r="K330" s="11"/>
      <c r="L330" s="11"/>
      <c r="M330" s="11"/>
      <c r="N330" s="11"/>
      <c r="O330" s="10"/>
      <c r="P330" s="10"/>
      <c r="Q330" s="10"/>
      <c r="R330" s="10"/>
      <c r="S330" s="10"/>
      <c r="T330" s="10"/>
    </row>
    <row r="331" spans="1:20" s="2" customFormat="1" x14ac:dyDescent="0.25">
      <c r="A331" s="14"/>
      <c r="B331" s="13"/>
      <c r="C331" s="10"/>
      <c r="D331" s="10"/>
      <c r="E331" s="10"/>
      <c r="F331" s="12"/>
      <c r="G331" s="12"/>
      <c r="H331" s="12"/>
      <c r="I331" s="10"/>
      <c r="J331" s="11"/>
      <c r="K331" s="11"/>
      <c r="L331" s="11"/>
      <c r="M331" s="11"/>
      <c r="N331" s="11"/>
      <c r="O331" s="10"/>
      <c r="P331" s="10"/>
      <c r="Q331" s="10"/>
      <c r="R331" s="10"/>
      <c r="S331" s="10"/>
      <c r="T331" s="10"/>
    </row>
    <row r="332" spans="1:20" s="2" customFormat="1" x14ac:dyDescent="0.25">
      <c r="A332" s="14"/>
      <c r="B332" s="13"/>
      <c r="C332" s="10"/>
      <c r="D332" s="10"/>
      <c r="E332" s="10"/>
      <c r="F332" s="12"/>
      <c r="G332" s="12"/>
      <c r="H332" s="12"/>
      <c r="I332" s="10"/>
      <c r="J332" s="11"/>
      <c r="K332" s="11"/>
      <c r="L332" s="11"/>
      <c r="M332" s="11"/>
      <c r="N332" s="11"/>
      <c r="O332" s="10"/>
      <c r="P332" s="10"/>
      <c r="Q332" s="10"/>
      <c r="R332" s="10"/>
      <c r="S332" s="10"/>
      <c r="T332" s="10"/>
    </row>
    <row r="333" spans="1:20" s="2" customFormat="1" x14ac:dyDescent="0.25">
      <c r="A333" s="14"/>
      <c r="B333" s="13"/>
      <c r="C333" s="10"/>
      <c r="D333" s="10"/>
      <c r="E333" s="10"/>
      <c r="F333" s="12"/>
      <c r="G333" s="12"/>
      <c r="H333" s="12"/>
      <c r="I333" s="10"/>
      <c r="J333" s="11"/>
      <c r="K333" s="11"/>
      <c r="L333" s="11"/>
      <c r="M333" s="11"/>
      <c r="N333" s="11"/>
      <c r="O333" s="10"/>
      <c r="P333" s="10"/>
      <c r="Q333" s="10"/>
      <c r="R333" s="10"/>
      <c r="S333" s="10"/>
      <c r="T333" s="10"/>
    </row>
    <row r="334" spans="1:20" s="2" customFormat="1" x14ac:dyDescent="0.25">
      <c r="A334" s="14"/>
      <c r="B334" s="13"/>
      <c r="C334" s="10"/>
      <c r="D334" s="10"/>
      <c r="E334" s="10"/>
      <c r="F334" s="12"/>
      <c r="G334" s="12"/>
      <c r="H334" s="12"/>
      <c r="I334" s="10"/>
      <c r="J334" s="11"/>
      <c r="K334" s="11"/>
      <c r="L334" s="11"/>
      <c r="M334" s="11"/>
      <c r="N334" s="11"/>
      <c r="O334" s="10"/>
      <c r="P334" s="10"/>
      <c r="Q334" s="10"/>
      <c r="R334" s="10"/>
      <c r="S334" s="10"/>
      <c r="T334" s="10"/>
    </row>
    <row r="335" spans="1:20" s="2" customFormat="1" x14ac:dyDescent="0.25">
      <c r="A335" s="14"/>
      <c r="B335" s="13"/>
      <c r="C335" s="10"/>
      <c r="D335" s="10"/>
      <c r="E335" s="10"/>
      <c r="F335" s="12"/>
      <c r="G335" s="12"/>
      <c r="H335" s="12"/>
      <c r="I335" s="10"/>
      <c r="J335" s="11"/>
      <c r="K335" s="11"/>
      <c r="L335" s="11"/>
      <c r="M335" s="11"/>
      <c r="N335" s="11"/>
      <c r="O335" s="10"/>
      <c r="P335" s="10"/>
      <c r="Q335" s="10"/>
      <c r="R335" s="10"/>
      <c r="S335" s="10"/>
      <c r="T335" s="10"/>
    </row>
    <row r="336" spans="1:20" s="2" customFormat="1" x14ac:dyDescent="0.25">
      <c r="A336" s="14"/>
      <c r="B336" s="13"/>
      <c r="C336" s="10"/>
      <c r="D336" s="10"/>
      <c r="E336" s="10"/>
      <c r="F336" s="12"/>
      <c r="G336" s="12"/>
      <c r="H336" s="12"/>
      <c r="I336" s="10"/>
      <c r="J336" s="11"/>
      <c r="K336" s="11"/>
      <c r="L336" s="11"/>
      <c r="M336" s="11"/>
      <c r="N336" s="11"/>
      <c r="O336" s="10"/>
      <c r="P336" s="10"/>
      <c r="Q336" s="10"/>
      <c r="R336" s="10"/>
      <c r="S336" s="10"/>
      <c r="T336" s="10"/>
    </row>
    <row r="337" spans="1:20" s="2" customFormat="1" x14ac:dyDescent="0.25">
      <c r="A337" s="14"/>
      <c r="B337" s="13"/>
      <c r="C337" s="10"/>
      <c r="D337" s="10"/>
      <c r="E337" s="10"/>
      <c r="F337" s="12"/>
      <c r="G337" s="12"/>
      <c r="H337" s="12"/>
      <c r="I337" s="10"/>
      <c r="J337" s="11"/>
      <c r="K337" s="11"/>
      <c r="L337" s="11"/>
      <c r="M337" s="11"/>
      <c r="N337" s="11"/>
      <c r="O337" s="10"/>
      <c r="P337" s="10"/>
      <c r="Q337" s="10"/>
      <c r="R337" s="10"/>
      <c r="S337" s="10"/>
      <c r="T337" s="10"/>
    </row>
    <row r="338" spans="1:20" s="2" customFormat="1" x14ac:dyDescent="0.25">
      <c r="A338" s="14"/>
      <c r="B338" s="13"/>
      <c r="C338" s="10"/>
      <c r="D338" s="10"/>
      <c r="E338" s="10"/>
      <c r="F338" s="12"/>
      <c r="G338" s="12"/>
      <c r="H338" s="12"/>
      <c r="I338" s="10"/>
      <c r="J338" s="11"/>
      <c r="K338" s="11"/>
      <c r="L338" s="11"/>
      <c r="M338" s="11"/>
      <c r="N338" s="11"/>
      <c r="O338" s="10"/>
      <c r="P338" s="10"/>
      <c r="Q338" s="10"/>
      <c r="R338" s="10"/>
      <c r="S338" s="10"/>
      <c r="T338" s="10"/>
    </row>
    <row r="339" spans="1:20" s="2" customFormat="1" x14ac:dyDescent="0.25">
      <c r="A339" s="14"/>
      <c r="B339" s="13"/>
      <c r="C339" s="10"/>
      <c r="D339" s="10"/>
      <c r="E339" s="10"/>
      <c r="F339" s="12"/>
      <c r="G339" s="12"/>
      <c r="H339" s="12"/>
      <c r="I339" s="10"/>
      <c r="J339" s="11"/>
      <c r="K339" s="11"/>
      <c r="L339" s="11"/>
      <c r="M339" s="11"/>
      <c r="N339" s="11"/>
      <c r="O339" s="10"/>
      <c r="P339" s="10"/>
      <c r="Q339" s="10"/>
      <c r="R339" s="10"/>
      <c r="S339" s="10"/>
      <c r="T339" s="10"/>
    </row>
    <row r="340" spans="1:20" s="2" customFormat="1" x14ac:dyDescent="0.25">
      <c r="A340" s="14"/>
      <c r="B340" s="13"/>
      <c r="C340" s="10"/>
      <c r="D340" s="10"/>
      <c r="E340" s="10"/>
      <c r="F340" s="12"/>
      <c r="G340" s="12"/>
      <c r="H340" s="12"/>
      <c r="I340" s="10"/>
      <c r="J340" s="11"/>
      <c r="K340" s="11"/>
      <c r="L340" s="11"/>
      <c r="M340" s="11"/>
      <c r="N340" s="11"/>
      <c r="O340" s="10"/>
      <c r="P340" s="10"/>
      <c r="Q340" s="10"/>
      <c r="R340" s="10"/>
      <c r="S340" s="10"/>
      <c r="T340" s="10"/>
    </row>
    <row r="341" spans="1:20" s="2" customFormat="1" x14ac:dyDescent="0.25">
      <c r="A341" s="14"/>
      <c r="B341" s="13"/>
      <c r="C341" s="10"/>
      <c r="D341" s="10"/>
      <c r="E341" s="10"/>
      <c r="F341" s="12"/>
      <c r="G341" s="12"/>
      <c r="H341" s="12"/>
      <c r="I341" s="10"/>
      <c r="J341" s="11"/>
      <c r="K341" s="11"/>
      <c r="L341" s="11"/>
      <c r="M341" s="11"/>
      <c r="N341" s="11"/>
      <c r="O341" s="10"/>
      <c r="P341" s="10"/>
      <c r="Q341" s="10"/>
      <c r="R341" s="10"/>
      <c r="S341" s="10"/>
      <c r="T341" s="10"/>
    </row>
    <row r="342" spans="1:20" s="2" customFormat="1" x14ac:dyDescent="0.25">
      <c r="A342" s="14"/>
      <c r="B342" s="13"/>
      <c r="C342" s="10"/>
      <c r="D342" s="10"/>
      <c r="E342" s="10"/>
      <c r="F342" s="12"/>
      <c r="G342" s="12"/>
      <c r="H342" s="12"/>
      <c r="I342" s="10"/>
      <c r="J342" s="11"/>
      <c r="K342" s="11"/>
      <c r="L342" s="11"/>
      <c r="M342" s="11"/>
      <c r="N342" s="11"/>
      <c r="O342" s="10"/>
      <c r="P342" s="10"/>
      <c r="Q342" s="10"/>
      <c r="R342" s="10"/>
      <c r="S342" s="10"/>
      <c r="T342" s="10"/>
    </row>
    <row r="343" spans="1:20" s="2" customFormat="1" x14ac:dyDescent="0.25">
      <c r="A343" s="14"/>
      <c r="B343" s="13"/>
      <c r="C343" s="10"/>
      <c r="D343" s="10"/>
      <c r="E343" s="10"/>
      <c r="F343" s="12"/>
      <c r="G343" s="12"/>
      <c r="H343" s="12"/>
      <c r="I343" s="10"/>
      <c r="J343" s="11"/>
      <c r="K343" s="11"/>
      <c r="L343" s="11"/>
      <c r="M343" s="11"/>
      <c r="N343" s="11"/>
      <c r="O343" s="10"/>
      <c r="P343" s="10"/>
      <c r="Q343" s="10"/>
      <c r="R343" s="10"/>
      <c r="S343" s="10"/>
      <c r="T343" s="10"/>
    </row>
    <row r="344" spans="1:20" s="2" customFormat="1" x14ac:dyDescent="0.25">
      <c r="A344" s="14"/>
      <c r="B344" s="13"/>
      <c r="C344" s="10"/>
      <c r="D344" s="10"/>
      <c r="E344" s="10"/>
      <c r="F344" s="12"/>
      <c r="G344" s="12"/>
      <c r="H344" s="12"/>
      <c r="I344" s="10"/>
      <c r="J344" s="11"/>
      <c r="K344" s="11"/>
      <c r="L344" s="11"/>
      <c r="M344" s="11"/>
      <c r="N344" s="11"/>
      <c r="O344" s="10"/>
      <c r="P344" s="10"/>
      <c r="Q344" s="10"/>
      <c r="R344" s="10"/>
      <c r="S344" s="10"/>
      <c r="T344" s="10"/>
    </row>
    <row r="345" spans="1:20" s="2" customFormat="1" x14ac:dyDescent="0.25">
      <c r="A345" s="14"/>
      <c r="B345" s="13"/>
      <c r="C345" s="10"/>
      <c r="D345" s="10"/>
      <c r="E345" s="10"/>
      <c r="F345" s="12"/>
      <c r="G345" s="12"/>
      <c r="H345" s="12"/>
      <c r="I345" s="10"/>
      <c r="J345" s="11"/>
      <c r="K345" s="11"/>
      <c r="L345" s="11"/>
      <c r="M345" s="11"/>
      <c r="N345" s="11"/>
      <c r="O345" s="10"/>
      <c r="P345" s="10"/>
      <c r="Q345" s="10"/>
      <c r="R345" s="10"/>
      <c r="S345" s="10"/>
      <c r="T345" s="10"/>
    </row>
    <row r="346" spans="1:20" s="2" customFormat="1" x14ac:dyDescent="0.25">
      <c r="A346" s="14"/>
      <c r="B346" s="13"/>
      <c r="C346" s="10"/>
      <c r="D346" s="10"/>
      <c r="E346" s="10"/>
      <c r="F346" s="12"/>
      <c r="G346" s="12"/>
      <c r="H346" s="12"/>
      <c r="I346" s="10"/>
      <c r="J346" s="11"/>
      <c r="K346" s="11"/>
      <c r="L346" s="11"/>
      <c r="M346" s="11"/>
      <c r="N346" s="11"/>
      <c r="O346" s="10"/>
      <c r="P346" s="10"/>
      <c r="Q346" s="10"/>
      <c r="R346" s="10"/>
      <c r="S346" s="10"/>
      <c r="T346" s="10"/>
    </row>
    <row r="347" spans="1:20" s="2" customFormat="1" x14ac:dyDescent="0.25">
      <c r="A347" s="14"/>
      <c r="B347" s="13"/>
      <c r="C347" s="10"/>
      <c r="D347" s="10"/>
      <c r="E347" s="10"/>
      <c r="F347" s="12"/>
      <c r="G347" s="12"/>
      <c r="H347" s="12"/>
      <c r="I347" s="10"/>
      <c r="J347" s="11"/>
      <c r="K347" s="11"/>
      <c r="L347" s="11"/>
      <c r="M347" s="11"/>
      <c r="N347" s="11"/>
      <c r="O347" s="10"/>
      <c r="P347" s="10"/>
      <c r="Q347" s="10"/>
      <c r="R347" s="10"/>
      <c r="S347" s="10"/>
      <c r="T347" s="10"/>
    </row>
    <row r="348" spans="1:20" s="2" customFormat="1" x14ac:dyDescent="0.25">
      <c r="A348" s="14"/>
      <c r="B348" s="13"/>
      <c r="C348" s="10"/>
      <c r="D348" s="10"/>
      <c r="E348" s="10"/>
      <c r="F348" s="12"/>
      <c r="G348" s="12"/>
      <c r="H348" s="12"/>
      <c r="I348" s="10"/>
      <c r="J348" s="11"/>
      <c r="K348" s="11"/>
      <c r="L348" s="11"/>
      <c r="M348" s="11"/>
      <c r="N348" s="11"/>
      <c r="O348" s="10"/>
      <c r="P348" s="10"/>
      <c r="Q348" s="10"/>
      <c r="R348" s="10"/>
      <c r="S348" s="10"/>
      <c r="T348" s="10"/>
    </row>
    <row r="349" spans="1:20" s="2" customFormat="1" x14ac:dyDescent="0.25">
      <c r="A349" s="14"/>
      <c r="B349" s="13"/>
      <c r="C349" s="10"/>
      <c r="D349" s="10"/>
      <c r="E349" s="10"/>
      <c r="F349" s="12"/>
      <c r="G349" s="12"/>
      <c r="H349" s="12"/>
      <c r="I349" s="10"/>
      <c r="J349" s="11"/>
      <c r="K349" s="11"/>
      <c r="L349" s="11"/>
      <c r="M349" s="11"/>
      <c r="N349" s="11"/>
      <c r="O349" s="10"/>
      <c r="P349" s="10"/>
      <c r="Q349" s="10"/>
      <c r="R349" s="10"/>
      <c r="S349" s="10"/>
      <c r="T349" s="10"/>
    </row>
    <row r="350" spans="1:20" s="2" customFormat="1" x14ac:dyDescent="0.25">
      <c r="A350" s="14"/>
      <c r="B350" s="13"/>
      <c r="C350" s="10"/>
      <c r="D350" s="10"/>
      <c r="E350" s="10"/>
      <c r="F350" s="12"/>
      <c r="G350" s="12"/>
      <c r="H350" s="12"/>
      <c r="I350" s="10"/>
      <c r="J350" s="11"/>
      <c r="K350" s="11"/>
      <c r="L350" s="11"/>
      <c r="M350" s="11"/>
      <c r="N350" s="11"/>
      <c r="O350" s="10"/>
      <c r="P350" s="10"/>
      <c r="Q350" s="10"/>
      <c r="R350" s="10"/>
      <c r="S350" s="10"/>
      <c r="T350" s="10"/>
    </row>
    <row r="351" spans="1:20" s="2" customFormat="1" x14ac:dyDescent="0.25">
      <c r="A351" s="14"/>
      <c r="B351" s="13"/>
      <c r="C351" s="10"/>
      <c r="D351" s="10"/>
      <c r="E351" s="10"/>
      <c r="F351" s="12"/>
      <c r="G351" s="12"/>
      <c r="H351" s="12"/>
      <c r="I351" s="10"/>
      <c r="J351" s="11"/>
      <c r="K351" s="11"/>
      <c r="L351" s="11"/>
      <c r="M351" s="11"/>
      <c r="N351" s="11"/>
      <c r="O351" s="10"/>
      <c r="P351" s="10"/>
      <c r="Q351" s="10"/>
      <c r="R351" s="10"/>
      <c r="S351" s="10"/>
      <c r="T351" s="10"/>
    </row>
    <row r="352" spans="1:20" s="2" customFormat="1" x14ac:dyDescent="0.25">
      <c r="A352" s="14"/>
      <c r="B352" s="13"/>
      <c r="C352" s="10"/>
      <c r="D352" s="10"/>
      <c r="E352" s="10"/>
      <c r="F352" s="12"/>
      <c r="G352" s="12"/>
      <c r="H352" s="12"/>
      <c r="I352" s="10"/>
      <c r="J352" s="11"/>
      <c r="K352" s="11"/>
      <c r="L352" s="11"/>
      <c r="M352" s="11"/>
      <c r="N352" s="11"/>
      <c r="O352" s="10"/>
      <c r="P352" s="10"/>
      <c r="Q352" s="10"/>
      <c r="R352" s="10"/>
      <c r="S352" s="10"/>
      <c r="T352" s="10"/>
    </row>
    <row r="353" spans="1:20" s="2" customFormat="1" x14ac:dyDescent="0.25">
      <c r="A353" s="14"/>
      <c r="B353" s="13"/>
      <c r="C353" s="10"/>
      <c r="D353" s="10"/>
      <c r="E353" s="10"/>
      <c r="F353" s="12"/>
      <c r="G353" s="12"/>
      <c r="H353" s="12"/>
      <c r="I353" s="10"/>
      <c r="J353" s="11"/>
      <c r="K353" s="11"/>
      <c r="L353" s="11"/>
      <c r="M353" s="11"/>
      <c r="N353" s="11"/>
      <c r="O353" s="10"/>
      <c r="P353" s="10"/>
      <c r="Q353" s="10"/>
      <c r="R353" s="10"/>
      <c r="S353" s="10"/>
      <c r="T353" s="10"/>
    </row>
    <row r="354" spans="1:20" s="2" customFormat="1" x14ac:dyDescent="0.25">
      <c r="A354" s="14"/>
      <c r="B354" s="13"/>
      <c r="C354" s="10"/>
      <c r="D354" s="10"/>
      <c r="E354" s="10"/>
      <c r="F354" s="12"/>
      <c r="G354" s="12"/>
      <c r="H354" s="12"/>
      <c r="I354" s="10"/>
      <c r="J354" s="11"/>
      <c r="K354" s="11"/>
      <c r="L354" s="11"/>
      <c r="M354" s="11"/>
      <c r="N354" s="11"/>
      <c r="O354" s="10"/>
      <c r="P354" s="10"/>
      <c r="Q354" s="10"/>
      <c r="R354" s="10"/>
      <c r="S354" s="10"/>
      <c r="T354" s="10"/>
    </row>
    <row r="355" spans="1:20" s="2" customFormat="1" x14ac:dyDescent="0.25">
      <c r="A355" s="14"/>
      <c r="B355" s="13"/>
      <c r="C355" s="10"/>
      <c r="D355" s="10"/>
      <c r="E355" s="10"/>
      <c r="F355" s="12"/>
      <c r="G355" s="12"/>
      <c r="H355" s="12"/>
      <c r="I355" s="10"/>
      <c r="J355" s="11"/>
      <c r="K355" s="11"/>
      <c r="L355" s="11"/>
      <c r="M355" s="11"/>
      <c r="N355" s="11"/>
      <c r="O355" s="10"/>
      <c r="P355" s="10"/>
      <c r="Q355" s="10"/>
      <c r="R355" s="10"/>
      <c r="S355" s="10"/>
      <c r="T355" s="10"/>
    </row>
    <row r="356" spans="1:20" s="2" customFormat="1" x14ac:dyDescent="0.25">
      <c r="A356" s="14"/>
      <c r="B356" s="13"/>
      <c r="C356" s="10"/>
      <c r="D356" s="10"/>
      <c r="E356" s="10"/>
      <c r="F356" s="12"/>
      <c r="G356" s="12"/>
      <c r="H356" s="12"/>
      <c r="I356" s="10"/>
      <c r="J356" s="11"/>
      <c r="K356" s="11"/>
      <c r="L356" s="11"/>
      <c r="M356" s="11"/>
      <c r="N356" s="11"/>
      <c r="O356" s="10"/>
      <c r="P356" s="10"/>
      <c r="Q356" s="10"/>
      <c r="R356" s="10"/>
      <c r="S356" s="10"/>
      <c r="T356" s="10"/>
    </row>
    <row r="357" spans="1:20" s="2" customFormat="1" x14ac:dyDescent="0.25">
      <c r="A357" s="14"/>
      <c r="B357" s="13"/>
      <c r="C357" s="10"/>
      <c r="D357" s="10"/>
      <c r="E357" s="10"/>
      <c r="F357" s="12"/>
      <c r="G357" s="12"/>
      <c r="H357" s="12"/>
      <c r="I357" s="10"/>
      <c r="J357" s="11"/>
      <c r="K357" s="11"/>
      <c r="L357" s="11"/>
      <c r="M357" s="11"/>
      <c r="N357" s="11"/>
      <c r="O357" s="10"/>
      <c r="P357" s="10"/>
      <c r="Q357" s="10"/>
      <c r="R357" s="10"/>
      <c r="S357" s="10"/>
      <c r="T357" s="10"/>
    </row>
    <row r="358" spans="1:20" s="2" customFormat="1" x14ac:dyDescent="0.25">
      <c r="A358" s="14"/>
      <c r="B358" s="13"/>
      <c r="C358" s="10"/>
      <c r="D358" s="10"/>
      <c r="E358" s="10"/>
      <c r="F358" s="12"/>
      <c r="G358" s="12"/>
      <c r="H358" s="12"/>
      <c r="I358" s="10"/>
      <c r="J358" s="11"/>
      <c r="K358" s="11"/>
      <c r="L358" s="11"/>
      <c r="M358" s="11"/>
      <c r="N358" s="11"/>
      <c r="O358" s="10"/>
      <c r="P358" s="10"/>
      <c r="Q358" s="10"/>
      <c r="R358" s="10"/>
      <c r="S358" s="10"/>
      <c r="T358" s="10"/>
    </row>
    <row r="359" spans="1:20" s="2" customFormat="1" x14ac:dyDescent="0.25">
      <c r="A359" s="14"/>
      <c r="B359" s="13"/>
      <c r="C359" s="10"/>
      <c r="D359" s="10"/>
      <c r="E359" s="10"/>
      <c r="F359" s="12"/>
      <c r="G359" s="12"/>
      <c r="H359" s="12"/>
      <c r="I359" s="10"/>
      <c r="J359" s="11"/>
      <c r="K359" s="11"/>
      <c r="L359" s="11"/>
      <c r="M359" s="11"/>
      <c r="N359" s="11"/>
      <c r="O359" s="10"/>
      <c r="P359" s="10"/>
      <c r="Q359" s="10"/>
      <c r="R359" s="10"/>
      <c r="S359" s="10"/>
      <c r="T359" s="10"/>
    </row>
    <row r="360" spans="1:20" s="2" customFormat="1" x14ac:dyDescent="0.25">
      <c r="A360" s="14"/>
      <c r="B360" s="13"/>
      <c r="C360" s="10"/>
      <c r="D360" s="10"/>
      <c r="E360" s="10"/>
      <c r="F360" s="12"/>
      <c r="G360" s="12"/>
      <c r="H360" s="12"/>
      <c r="I360" s="10"/>
      <c r="J360" s="11"/>
      <c r="K360" s="11"/>
      <c r="L360" s="11"/>
      <c r="M360" s="11"/>
      <c r="N360" s="11"/>
      <c r="O360" s="10"/>
      <c r="P360" s="10"/>
      <c r="Q360" s="10"/>
      <c r="R360" s="10"/>
      <c r="S360" s="10"/>
      <c r="T360" s="10"/>
    </row>
    <row r="361" spans="1:20" s="2" customFormat="1" x14ac:dyDescent="0.25">
      <c r="A361" s="14"/>
      <c r="B361" s="13"/>
      <c r="C361" s="10"/>
      <c r="D361" s="10"/>
      <c r="E361" s="10"/>
      <c r="F361" s="12"/>
      <c r="G361" s="12"/>
      <c r="H361" s="12"/>
      <c r="I361" s="10"/>
      <c r="J361" s="11"/>
      <c r="K361" s="11"/>
      <c r="L361" s="11"/>
      <c r="M361" s="11"/>
      <c r="N361" s="11"/>
      <c r="O361" s="10"/>
      <c r="P361" s="10"/>
      <c r="Q361" s="10"/>
      <c r="R361" s="10"/>
      <c r="S361" s="10"/>
      <c r="T361" s="10"/>
    </row>
    <row r="362" spans="1:20" s="2" customFormat="1" x14ac:dyDescent="0.25">
      <c r="A362" s="14"/>
      <c r="B362" s="13"/>
      <c r="C362" s="10"/>
      <c r="D362" s="10"/>
      <c r="E362" s="10"/>
      <c r="F362" s="12"/>
      <c r="G362" s="12"/>
      <c r="H362" s="12"/>
      <c r="I362" s="10"/>
      <c r="J362" s="11"/>
      <c r="K362" s="11"/>
      <c r="L362" s="11"/>
      <c r="M362" s="11"/>
      <c r="N362" s="11"/>
      <c r="O362" s="10"/>
      <c r="P362" s="10"/>
      <c r="Q362" s="10"/>
      <c r="R362" s="10"/>
      <c r="S362" s="10"/>
      <c r="T362" s="10"/>
    </row>
    <row r="363" spans="1:20" s="2" customFormat="1" x14ac:dyDescent="0.25">
      <c r="A363" s="14"/>
      <c r="B363" s="13"/>
      <c r="C363" s="10"/>
      <c r="D363" s="10"/>
      <c r="E363" s="10"/>
      <c r="F363" s="12"/>
      <c r="G363" s="12"/>
      <c r="H363" s="12"/>
      <c r="I363" s="10"/>
      <c r="J363" s="11"/>
      <c r="K363" s="11"/>
      <c r="L363" s="11"/>
      <c r="M363" s="11"/>
      <c r="N363" s="11"/>
      <c r="O363" s="10"/>
      <c r="P363" s="10"/>
      <c r="Q363" s="10"/>
      <c r="R363" s="10"/>
      <c r="S363" s="10"/>
      <c r="T363" s="10"/>
    </row>
    <row r="364" spans="1:20" s="2" customFormat="1" x14ac:dyDescent="0.25">
      <c r="A364" s="14"/>
      <c r="B364" s="13"/>
      <c r="C364" s="10"/>
      <c r="D364" s="10"/>
      <c r="E364" s="10"/>
      <c r="F364" s="12"/>
      <c r="G364" s="12"/>
      <c r="H364" s="12"/>
      <c r="I364" s="10"/>
      <c r="J364" s="11"/>
      <c r="K364" s="11"/>
      <c r="L364" s="11"/>
      <c r="M364" s="11"/>
      <c r="N364" s="11"/>
      <c r="O364" s="10"/>
      <c r="P364" s="10"/>
      <c r="Q364" s="10"/>
      <c r="R364" s="10"/>
      <c r="S364" s="10"/>
      <c r="T364" s="10"/>
    </row>
    <row r="365" spans="1:20" s="2" customFormat="1" x14ac:dyDescent="0.25">
      <c r="A365" s="14"/>
      <c r="B365" s="13"/>
      <c r="C365" s="10"/>
      <c r="D365" s="10"/>
      <c r="E365" s="10"/>
      <c r="F365" s="12"/>
      <c r="G365" s="12"/>
      <c r="H365" s="12"/>
      <c r="I365" s="10"/>
      <c r="J365" s="11"/>
      <c r="K365" s="11"/>
      <c r="L365" s="11"/>
      <c r="M365" s="11"/>
      <c r="N365" s="11"/>
      <c r="O365" s="10"/>
      <c r="P365" s="10"/>
      <c r="Q365" s="10"/>
      <c r="R365" s="10"/>
      <c r="S365" s="10"/>
      <c r="T365" s="10"/>
    </row>
    <row r="366" spans="1:20" s="2" customFormat="1" x14ac:dyDescent="0.25">
      <c r="A366" s="14"/>
      <c r="B366" s="13"/>
      <c r="C366" s="10"/>
      <c r="D366" s="10"/>
      <c r="E366" s="10"/>
      <c r="F366" s="12"/>
      <c r="G366" s="12"/>
      <c r="H366" s="12"/>
      <c r="I366" s="10"/>
      <c r="J366" s="11"/>
      <c r="K366" s="11"/>
      <c r="L366" s="11"/>
      <c r="M366" s="11"/>
      <c r="N366" s="11"/>
      <c r="O366" s="10"/>
      <c r="P366" s="10"/>
      <c r="Q366" s="10"/>
      <c r="R366" s="10"/>
      <c r="S366" s="10"/>
      <c r="T366" s="10"/>
    </row>
    <row r="367" spans="1:20" s="2" customFormat="1" x14ac:dyDescent="0.25">
      <c r="A367" s="14"/>
      <c r="B367" s="13"/>
      <c r="C367" s="10"/>
      <c r="D367" s="10"/>
      <c r="E367" s="10"/>
      <c r="F367" s="12"/>
      <c r="G367" s="12"/>
      <c r="H367" s="12"/>
      <c r="I367" s="10"/>
      <c r="J367" s="11"/>
      <c r="K367" s="11"/>
      <c r="L367" s="11"/>
      <c r="M367" s="11"/>
      <c r="N367" s="11"/>
      <c r="O367" s="10"/>
      <c r="P367" s="10"/>
      <c r="Q367" s="10"/>
      <c r="R367" s="10"/>
      <c r="S367" s="10"/>
      <c r="T367" s="10"/>
    </row>
    <row r="368" spans="1:20" s="2" customFormat="1" x14ac:dyDescent="0.25">
      <c r="A368" s="14"/>
      <c r="B368" s="13"/>
      <c r="C368" s="10"/>
      <c r="D368" s="10"/>
      <c r="E368" s="10"/>
      <c r="F368" s="12"/>
      <c r="G368" s="12"/>
      <c r="H368" s="12"/>
      <c r="I368" s="10"/>
      <c r="J368" s="11"/>
      <c r="K368" s="11"/>
      <c r="L368" s="11"/>
      <c r="M368" s="11"/>
      <c r="N368" s="11"/>
      <c r="O368" s="10"/>
      <c r="P368" s="10"/>
      <c r="Q368" s="10"/>
      <c r="R368" s="10"/>
      <c r="S368" s="10"/>
      <c r="T368" s="10"/>
    </row>
    <row r="369" spans="1:20" s="2" customFormat="1" x14ac:dyDescent="0.25">
      <c r="A369" s="14"/>
      <c r="B369" s="13"/>
      <c r="C369" s="10"/>
      <c r="D369" s="10"/>
      <c r="E369" s="10"/>
      <c r="F369" s="12"/>
      <c r="G369" s="12"/>
      <c r="H369" s="12"/>
      <c r="I369" s="10"/>
      <c r="J369" s="11"/>
      <c r="K369" s="11"/>
      <c r="L369" s="11"/>
      <c r="M369" s="11"/>
      <c r="N369" s="11"/>
      <c r="O369" s="10"/>
      <c r="P369" s="10"/>
      <c r="Q369" s="10"/>
      <c r="R369" s="10"/>
      <c r="S369" s="10"/>
      <c r="T369" s="10"/>
    </row>
    <row r="370" spans="1:20" s="2" customFormat="1" x14ac:dyDescent="0.25">
      <c r="A370" s="14"/>
      <c r="B370" s="13"/>
      <c r="C370" s="10"/>
      <c r="D370" s="10"/>
      <c r="E370" s="10"/>
      <c r="F370" s="12"/>
      <c r="G370" s="12"/>
      <c r="H370" s="12"/>
      <c r="I370" s="10"/>
      <c r="J370" s="11"/>
      <c r="K370" s="11"/>
      <c r="L370" s="11"/>
      <c r="M370" s="11"/>
      <c r="N370" s="11"/>
      <c r="O370" s="10"/>
      <c r="P370" s="10"/>
      <c r="Q370" s="10"/>
      <c r="R370" s="10"/>
      <c r="S370" s="10"/>
      <c r="T370" s="10"/>
    </row>
    <row r="371" spans="1:20" s="2" customFormat="1" x14ac:dyDescent="0.25">
      <c r="A371" s="14"/>
      <c r="B371" s="13"/>
      <c r="C371" s="10"/>
      <c r="D371" s="10"/>
      <c r="E371" s="10"/>
      <c r="F371" s="12"/>
      <c r="G371" s="12"/>
      <c r="H371" s="12"/>
      <c r="I371" s="10"/>
      <c r="J371" s="11"/>
      <c r="K371" s="11"/>
      <c r="L371" s="11"/>
      <c r="M371" s="11"/>
      <c r="N371" s="11"/>
      <c r="O371" s="10"/>
      <c r="P371" s="10"/>
      <c r="Q371" s="10"/>
      <c r="R371" s="10"/>
      <c r="S371" s="10"/>
      <c r="T371" s="10"/>
    </row>
    <row r="372" spans="1:20" s="2" customFormat="1" x14ac:dyDescent="0.25">
      <c r="A372" s="14"/>
      <c r="B372" s="13"/>
      <c r="C372" s="10"/>
      <c r="D372" s="10"/>
      <c r="E372" s="10"/>
      <c r="F372" s="12"/>
      <c r="G372" s="12"/>
      <c r="H372" s="12"/>
      <c r="I372" s="10"/>
      <c r="J372" s="11"/>
      <c r="K372" s="11"/>
      <c r="L372" s="11"/>
      <c r="M372" s="11"/>
      <c r="N372" s="11"/>
      <c r="O372" s="10"/>
      <c r="P372" s="10"/>
      <c r="Q372" s="10"/>
      <c r="R372" s="10"/>
      <c r="S372" s="10"/>
      <c r="T372" s="10"/>
    </row>
    <row r="373" spans="1:20" s="2" customFormat="1" x14ac:dyDescent="0.25">
      <c r="A373" s="14"/>
      <c r="B373" s="13"/>
      <c r="C373" s="10"/>
      <c r="D373" s="10"/>
      <c r="E373" s="10"/>
      <c r="F373" s="12"/>
      <c r="G373" s="12"/>
      <c r="H373" s="12"/>
      <c r="I373" s="10"/>
      <c r="J373" s="11"/>
      <c r="K373" s="11"/>
      <c r="L373" s="11"/>
      <c r="M373" s="11"/>
      <c r="N373" s="11"/>
      <c r="O373" s="10"/>
      <c r="P373" s="10"/>
      <c r="Q373" s="10"/>
      <c r="R373" s="10"/>
      <c r="S373" s="10"/>
      <c r="T373" s="10"/>
    </row>
    <row r="374" spans="1:20" s="2" customFormat="1" x14ac:dyDescent="0.25">
      <c r="A374" s="14"/>
      <c r="B374" s="13"/>
      <c r="C374" s="10"/>
      <c r="D374" s="10"/>
      <c r="E374" s="10"/>
      <c r="F374" s="12"/>
      <c r="G374" s="12"/>
      <c r="H374" s="12"/>
      <c r="I374" s="10"/>
      <c r="J374" s="11"/>
      <c r="K374" s="11"/>
      <c r="L374" s="11"/>
      <c r="M374" s="11"/>
      <c r="N374" s="11"/>
      <c r="O374" s="10"/>
      <c r="P374" s="10"/>
      <c r="Q374" s="10"/>
      <c r="R374" s="10"/>
      <c r="S374" s="10"/>
      <c r="T374" s="10"/>
    </row>
    <row r="375" spans="1:20" s="2" customFormat="1" x14ac:dyDescent="0.25">
      <c r="A375" s="14"/>
      <c r="B375" s="13"/>
      <c r="C375" s="10"/>
      <c r="D375" s="10"/>
      <c r="E375" s="10"/>
      <c r="F375" s="12"/>
      <c r="G375" s="12"/>
      <c r="H375" s="12"/>
      <c r="I375" s="10"/>
      <c r="J375" s="11"/>
      <c r="K375" s="11"/>
      <c r="L375" s="11"/>
      <c r="M375" s="11"/>
      <c r="N375" s="11"/>
      <c r="O375" s="10"/>
      <c r="P375" s="10"/>
      <c r="Q375" s="10"/>
      <c r="R375" s="10"/>
      <c r="S375" s="10"/>
      <c r="T375" s="10"/>
    </row>
    <row r="376" spans="1:20" s="2" customFormat="1" x14ac:dyDescent="0.25">
      <c r="A376" s="14"/>
      <c r="B376" s="13"/>
      <c r="C376" s="10"/>
      <c r="D376" s="10"/>
      <c r="E376" s="10"/>
      <c r="F376" s="12"/>
      <c r="G376" s="12"/>
      <c r="H376" s="12"/>
      <c r="I376" s="10"/>
      <c r="J376" s="11"/>
      <c r="K376" s="11"/>
      <c r="L376" s="11"/>
      <c r="M376" s="11"/>
      <c r="N376" s="11"/>
      <c r="O376" s="10"/>
      <c r="P376" s="10"/>
      <c r="Q376" s="10"/>
      <c r="R376" s="10"/>
      <c r="S376" s="10"/>
      <c r="T376" s="10"/>
    </row>
    <row r="377" spans="1:20" s="2" customFormat="1" x14ac:dyDescent="0.25">
      <c r="A377" s="14"/>
      <c r="B377" s="13"/>
      <c r="C377" s="10"/>
      <c r="D377" s="10"/>
      <c r="E377" s="10"/>
      <c r="F377" s="12"/>
      <c r="G377" s="12"/>
      <c r="H377" s="12"/>
      <c r="I377" s="10"/>
      <c r="J377" s="11"/>
      <c r="K377" s="11"/>
      <c r="L377" s="11"/>
      <c r="M377" s="11"/>
      <c r="N377" s="11"/>
      <c r="O377" s="10"/>
      <c r="P377" s="10"/>
      <c r="Q377" s="10"/>
      <c r="R377" s="10"/>
      <c r="S377" s="10"/>
      <c r="T377" s="10"/>
    </row>
    <row r="378" spans="1:20" s="2" customFormat="1" x14ac:dyDescent="0.25">
      <c r="A378" s="14"/>
      <c r="B378" s="13"/>
      <c r="C378" s="10"/>
      <c r="D378" s="10"/>
      <c r="E378" s="10"/>
      <c r="F378" s="12"/>
      <c r="G378" s="12"/>
      <c r="H378" s="12"/>
      <c r="I378" s="10"/>
      <c r="J378" s="11"/>
      <c r="K378" s="11"/>
      <c r="L378" s="11"/>
      <c r="M378" s="11"/>
      <c r="N378" s="11"/>
      <c r="O378" s="10"/>
      <c r="P378" s="10"/>
      <c r="Q378" s="10"/>
      <c r="R378" s="10"/>
      <c r="S378" s="10"/>
      <c r="T378" s="10"/>
    </row>
    <row r="379" spans="1:20" s="2" customFormat="1" x14ac:dyDescent="0.25">
      <c r="A379" s="14"/>
      <c r="B379" s="13"/>
      <c r="C379" s="10"/>
      <c r="D379" s="10"/>
      <c r="E379" s="10"/>
      <c r="F379" s="12"/>
      <c r="G379" s="12"/>
      <c r="H379" s="12"/>
      <c r="I379" s="10"/>
      <c r="J379" s="11"/>
      <c r="K379" s="11"/>
      <c r="L379" s="11"/>
      <c r="M379" s="11"/>
      <c r="N379" s="11"/>
      <c r="O379" s="10"/>
      <c r="P379" s="10"/>
      <c r="Q379" s="10"/>
      <c r="R379" s="10"/>
      <c r="S379" s="10"/>
      <c r="T379" s="10"/>
    </row>
    <row r="380" spans="1:20" s="2" customFormat="1" x14ac:dyDescent="0.25">
      <c r="A380" s="14"/>
      <c r="B380" s="13"/>
      <c r="C380" s="10"/>
      <c r="D380" s="10"/>
      <c r="E380" s="10"/>
      <c r="F380" s="12"/>
      <c r="G380" s="12"/>
      <c r="H380" s="12"/>
      <c r="I380" s="10"/>
      <c r="J380" s="11"/>
      <c r="K380" s="11"/>
      <c r="L380" s="11"/>
      <c r="M380" s="11"/>
      <c r="N380" s="11"/>
      <c r="O380" s="10"/>
      <c r="P380" s="10"/>
      <c r="Q380" s="10"/>
      <c r="R380" s="10"/>
      <c r="S380" s="10"/>
      <c r="T380" s="10"/>
    </row>
    <row r="381" spans="1:20" s="2" customFormat="1" x14ac:dyDescent="0.25">
      <c r="A381" s="14"/>
      <c r="B381" s="13"/>
      <c r="C381" s="10"/>
      <c r="D381" s="10"/>
      <c r="E381" s="10"/>
      <c r="F381" s="12"/>
      <c r="G381" s="12"/>
      <c r="H381" s="12"/>
      <c r="I381" s="10"/>
      <c r="J381" s="11"/>
      <c r="K381" s="11"/>
      <c r="L381" s="11"/>
      <c r="M381" s="11"/>
      <c r="N381" s="11"/>
      <c r="O381" s="10"/>
      <c r="P381" s="10"/>
      <c r="Q381" s="10"/>
      <c r="R381" s="10"/>
      <c r="S381" s="10"/>
      <c r="T381" s="10"/>
    </row>
    <row r="382" spans="1:20" s="2" customFormat="1" x14ac:dyDescent="0.25">
      <c r="A382" s="14"/>
      <c r="B382" s="13"/>
      <c r="C382" s="10"/>
      <c r="D382" s="10"/>
      <c r="E382" s="10"/>
      <c r="F382" s="12"/>
      <c r="G382" s="12"/>
      <c r="H382" s="12"/>
      <c r="I382" s="10"/>
      <c r="J382" s="11"/>
      <c r="K382" s="11"/>
      <c r="L382" s="11"/>
      <c r="M382" s="11"/>
      <c r="N382" s="11"/>
      <c r="O382" s="10"/>
      <c r="P382" s="10"/>
      <c r="Q382" s="10"/>
      <c r="R382" s="10"/>
      <c r="S382" s="10"/>
      <c r="T382" s="10"/>
    </row>
    <row r="383" spans="1:20" s="2" customFormat="1" x14ac:dyDescent="0.25">
      <c r="A383" s="14"/>
      <c r="B383" s="13"/>
      <c r="C383" s="10"/>
      <c r="D383" s="10"/>
      <c r="E383" s="10"/>
      <c r="F383" s="12"/>
      <c r="G383" s="12"/>
      <c r="H383" s="12"/>
      <c r="I383" s="10"/>
      <c r="J383" s="11"/>
      <c r="K383" s="11"/>
      <c r="L383" s="11"/>
      <c r="M383" s="11"/>
      <c r="N383" s="11"/>
      <c r="O383" s="10"/>
      <c r="P383" s="10"/>
      <c r="Q383" s="10"/>
      <c r="R383" s="10"/>
      <c r="S383" s="10"/>
      <c r="T383" s="10"/>
    </row>
    <row r="384" spans="1:20" s="2" customFormat="1" x14ac:dyDescent="0.25">
      <c r="A384" s="14"/>
      <c r="B384" s="13"/>
      <c r="C384" s="10"/>
      <c r="D384" s="10"/>
      <c r="E384" s="10"/>
      <c r="F384" s="12"/>
      <c r="G384" s="12"/>
      <c r="H384" s="12"/>
      <c r="I384" s="10"/>
      <c r="J384" s="11"/>
      <c r="K384" s="11"/>
      <c r="L384" s="11"/>
      <c r="M384" s="11"/>
      <c r="N384" s="11"/>
      <c r="O384" s="10"/>
      <c r="P384" s="10"/>
      <c r="Q384" s="10"/>
      <c r="R384" s="10"/>
      <c r="S384" s="10"/>
      <c r="T384" s="10"/>
    </row>
    <row r="385" spans="1:20" s="2" customFormat="1" x14ac:dyDescent="0.25">
      <c r="A385" s="14"/>
      <c r="B385" s="13"/>
      <c r="C385" s="10"/>
      <c r="D385" s="10"/>
      <c r="E385" s="10"/>
      <c r="F385" s="12"/>
      <c r="G385" s="12"/>
      <c r="H385" s="12"/>
      <c r="I385" s="10"/>
      <c r="J385" s="11"/>
      <c r="K385" s="11"/>
      <c r="L385" s="11"/>
      <c r="M385" s="11"/>
      <c r="N385" s="11"/>
      <c r="O385" s="10"/>
      <c r="P385" s="10"/>
      <c r="Q385" s="10"/>
      <c r="R385" s="10"/>
      <c r="S385" s="10"/>
      <c r="T385" s="10"/>
    </row>
    <row r="386" spans="1:20" s="2" customFormat="1" x14ac:dyDescent="0.25">
      <c r="A386" s="14"/>
      <c r="B386" s="13"/>
      <c r="C386" s="10"/>
      <c r="D386" s="10"/>
      <c r="E386" s="10"/>
      <c r="F386" s="12"/>
      <c r="G386" s="12"/>
      <c r="H386" s="12"/>
      <c r="I386" s="10"/>
      <c r="J386" s="11"/>
      <c r="K386" s="11"/>
      <c r="L386" s="11"/>
      <c r="M386" s="11"/>
      <c r="N386" s="11"/>
      <c r="O386" s="10"/>
      <c r="P386" s="10"/>
      <c r="Q386" s="10"/>
      <c r="R386" s="10"/>
      <c r="S386" s="10"/>
      <c r="T386" s="10"/>
    </row>
    <row r="387" spans="1:20" s="2" customFormat="1" x14ac:dyDescent="0.25">
      <c r="A387" s="14"/>
      <c r="B387" s="13"/>
      <c r="C387" s="10"/>
      <c r="D387" s="10"/>
      <c r="E387" s="10"/>
      <c r="F387" s="12"/>
      <c r="G387" s="12"/>
      <c r="H387" s="12"/>
      <c r="I387" s="10"/>
      <c r="J387" s="11"/>
      <c r="K387" s="11"/>
      <c r="L387" s="11"/>
      <c r="M387" s="11"/>
      <c r="N387" s="11"/>
      <c r="O387" s="10"/>
      <c r="P387" s="10"/>
      <c r="Q387" s="10"/>
      <c r="R387" s="10"/>
      <c r="S387" s="10"/>
      <c r="T387" s="10"/>
    </row>
    <row r="388" spans="1:20" s="2" customFormat="1" x14ac:dyDescent="0.25">
      <c r="A388" s="14"/>
      <c r="B388" s="13"/>
      <c r="C388" s="10"/>
      <c r="D388" s="10"/>
      <c r="E388" s="10"/>
      <c r="F388" s="12"/>
      <c r="G388" s="12"/>
      <c r="H388" s="12"/>
      <c r="I388" s="10"/>
      <c r="J388" s="11"/>
      <c r="K388" s="11"/>
      <c r="L388" s="11"/>
      <c r="M388" s="11"/>
      <c r="N388" s="11"/>
      <c r="O388" s="10"/>
      <c r="P388" s="10"/>
      <c r="Q388" s="10"/>
      <c r="R388" s="10"/>
      <c r="S388" s="10"/>
      <c r="T388" s="10"/>
    </row>
    <row r="389" spans="1:20" s="2" customFormat="1" x14ac:dyDescent="0.25">
      <c r="A389" s="14"/>
      <c r="B389" s="13"/>
      <c r="C389" s="10"/>
      <c r="D389" s="10"/>
      <c r="E389" s="10"/>
      <c r="F389" s="12"/>
      <c r="G389" s="12"/>
      <c r="H389" s="12"/>
      <c r="I389" s="10"/>
      <c r="J389" s="11"/>
      <c r="K389" s="11"/>
      <c r="L389" s="11"/>
      <c r="M389" s="11"/>
      <c r="N389" s="11"/>
      <c r="O389" s="10"/>
      <c r="P389" s="10"/>
      <c r="Q389" s="10"/>
      <c r="R389" s="10"/>
      <c r="S389" s="10"/>
      <c r="T389" s="10"/>
    </row>
    <row r="390" spans="1:20" s="2" customFormat="1" x14ac:dyDescent="0.25">
      <c r="A390" s="14"/>
      <c r="B390" s="13"/>
      <c r="C390" s="10"/>
      <c r="D390" s="10"/>
      <c r="E390" s="10"/>
      <c r="F390" s="12"/>
      <c r="G390" s="12"/>
      <c r="H390" s="12"/>
      <c r="I390" s="10"/>
      <c r="J390" s="11"/>
      <c r="K390" s="11"/>
      <c r="L390" s="11"/>
      <c r="M390" s="11"/>
      <c r="N390" s="11"/>
      <c r="O390" s="10"/>
      <c r="P390" s="10"/>
      <c r="Q390" s="10"/>
      <c r="R390" s="10"/>
      <c r="S390" s="10"/>
      <c r="T390" s="10"/>
    </row>
    <row r="391" spans="1:20" s="2" customFormat="1" x14ac:dyDescent="0.25">
      <c r="A391" s="14"/>
      <c r="B391" s="13"/>
      <c r="C391" s="10"/>
      <c r="D391" s="10"/>
      <c r="E391" s="10"/>
      <c r="F391" s="12"/>
      <c r="G391" s="12"/>
      <c r="H391" s="12"/>
      <c r="I391" s="10"/>
      <c r="J391" s="11"/>
      <c r="K391" s="11"/>
      <c r="L391" s="11"/>
      <c r="M391" s="11"/>
      <c r="N391" s="11"/>
      <c r="O391" s="10"/>
      <c r="P391" s="10"/>
      <c r="Q391" s="10"/>
      <c r="R391" s="10"/>
      <c r="S391" s="10"/>
      <c r="T391" s="10"/>
    </row>
    <row r="392" spans="1:20" s="2" customFormat="1" x14ac:dyDescent="0.25">
      <c r="A392" s="14"/>
      <c r="B392" s="13"/>
      <c r="C392" s="10"/>
      <c r="D392" s="10"/>
      <c r="E392" s="10"/>
      <c r="F392" s="12"/>
      <c r="G392" s="12"/>
      <c r="H392" s="12"/>
      <c r="I392" s="10"/>
      <c r="J392" s="11"/>
      <c r="K392" s="11"/>
      <c r="L392" s="11"/>
      <c r="M392" s="11"/>
      <c r="N392" s="11"/>
      <c r="O392" s="10"/>
      <c r="P392" s="10"/>
      <c r="Q392" s="10"/>
      <c r="R392" s="10"/>
      <c r="S392" s="10"/>
      <c r="T392" s="10"/>
    </row>
    <row r="393" spans="1:20" s="2" customFormat="1" x14ac:dyDescent="0.25">
      <c r="A393" s="14"/>
      <c r="B393" s="13"/>
      <c r="C393" s="10"/>
      <c r="D393" s="10"/>
      <c r="E393" s="10"/>
      <c r="F393" s="12"/>
      <c r="G393" s="12"/>
      <c r="H393" s="12"/>
      <c r="I393" s="10"/>
      <c r="J393" s="11"/>
      <c r="K393" s="11"/>
      <c r="L393" s="11"/>
      <c r="M393" s="11"/>
      <c r="N393" s="11"/>
      <c r="O393" s="10"/>
      <c r="P393" s="10"/>
      <c r="Q393" s="10"/>
      <c r="R393" s="10"/>
      <c r="S393" s="10"/>
      <c r="T393" s="10"/>
    </row>
    <row r="394" spans="1:20" s="2" customFormat="1" x14ac:dyDescent="0.25">
      <c r="A394" s="14"/>
      <c r="B394" s="13"/>
      <c r="C394" s="10"/>
      <c r="D394" s="10"/>
      <c r="E394" s="10"/>
      <c r="F394" s="12"/>
      <c r="G394" s="12"/>
      <c r="H394" s="12"/>
      <c r="I394" s="10"/>
      <c r="J394" s="11"/>
      <c r="K394" s="11"/>
      <c r="L394" s="11"/>
      <c r="M394" s="11"/>
      <c r="N394" s="11"/>
      <c r="O394" s="10"/>
      <c r="P394" s="10"/>
      <c r="Q394" s="10"/>
      <c r="R394" s="10"/>
      <c r="S394" s="10"/>
      <c r="T394" s="10"/>
    </row>
    <row r="395" spans="1:20" s="2" customFormat="1" x14ac:dyDescent="0.25">
      <c r="A395" s="14"/>
      <c r="B395" s="13"/>
      <c r="C395" s="10"/>
      <c r="D395" s="10"/>
      <c r="E395" s="10"/>
      <c r="F395" s="12"/>
      <c r="G395" s="12"/>
      <c r="H395" s="12"/>
      <c r="I395" s="10"/>
      <c r="J395" s="11"/>
      <c r="K395" s="11"/>
      <c r="L395" s="11"/>
      <c r="M395" s="11"/>
      <c r="N395" s="11"/>
      <c r="O395" s="10"/>
      <c r="P395" s="10"/>
      <c r="Q395" s="10"/>
      <c r="R395" s="10"/>
      <c r="S395" s="10"/>
      <c r="T395" s="10"/>
    </row>
    <row r="396" spans="1:20" s="2" customFormat="1" x14ac:dyDescent="0.25">
      <c r="A396" s="14"/>
      <c r="B396" s="13"/>
      <c r="C396" s="10"/>
      <c r="D396" s="10"/>
      <c r="E396" s="10"/>
      <c r="F396" s="12"/>
      <c r="G396" s="12"/>
      <c r="H396" s="12"/>
      <c r="I396" s="10"/>
      <c r="J396" s="11"/>
      <c r="K396" s="11"/>
      <c r="L396" s="11"/>
      <c r="M396" s="11"/>
      <c r="N396" s="11"/>
      <c r="O396" s="10"/>
      <c r="P396" s="10"/>
      <c r="Q396" s="10"/>
      <c r="R396" s="10"/>
      <c r="S396" s="10"/>
      <c r="T396" s="10"/>
    </row>
    <row r="397" spans="1:20" s="2" customFormat="1" x14ac:dyDescent="0.25">
      <c r="A397" s="14"/>
      <c r="B397" s="13"/>
      <c r="C397" s="10"/>
      <c r="D397" s="10"/>
      <c r="E397" s="10"/>
      <c r="F397" s="12"/>
      <c r="G397" s="12"/>
      <c r="H397" s="12"/>
      <c r="I397" s="10"/>
      <c r="J397" s="11"/>
      <c r="K397" s="11"/>
      <c r="L397" s="11"/>
      <c r="M397" s="11"/>
      <c r="N397" s="11"/>
      <c r="O397" s="10"/>
      <c r="P397" s="10"/>
      <c r="Q397" s="10"/>
      <c r="R397" s="10"/>
      <c r="S397" s="10"/>
      <c r="T397" s="10"/>
    </row>
    <row r="398" spans="1:20" s="2" customFormat="1" x14ac:dyDescent="0.25">
      <c r="A398" s="14"/>
      <c r="B398" s="13"/>
      <c r="C398" s="10"/>
      <c r="D398" s="10"/>
      <c r="E398" s="10"/>
      <c r="F398" s="12"/>
      <c r="G398" s="12"/>
      <c r="H398" s="12"/>
      <c r="I398" s="10"/>
      <c r="J398" s="11"/>
      <c r="K398" s="11"/>
      <c r="L398" s="11"/>
      <c r="M398" s="11"/>
      <c r="N398" s="11"/>
      <c r="O398" s="10"/>
      <c r="P398" s="10"/>
      <c r="Q398" s="10"/>
      <c r="R398" s="10"/>
      <c r="S398" s="10"/>
      <c r="T398" s="10"/>
    </row>
    <row r="399" spans="1:20" s="2" customFormat="1" x14ac:dyDescent="0.25">
      <c r="A399" s="14"/>
      <c r="B399" s="13"/>
      <c r="C399" s="10"/>
      <c r="D399" s="10"/>
      <c r="E399" s="10"/>
      <c r="F399" s="12"/>
      <c r="G399" s="12"/>
      <c r="H399" s="12"/>
      <c r="I399" s="10"/>
      <c r="J399" s="11"/>
      <c r="K399" s="11"/>
      <c r="L399" s="11"/>
      <c r="M399" s="11"/>
      <c r="N399" s="11"/>
      <c r="O399" s="10"/>
      <c r="P399" s="10"/>
      <c r="Q399" s="10"/>
      <c r="R399" s="10"/>
      <c r="S399" s="10"/>
      <c r="T399" s="10"/>
    </row>
    <row r="400" spans="1:20" s="2" customFormat="1" x14ac:dyDescent="0.25">
      <c r="A400" s="14"/>
      <c r="B400" s="13"/>
      <c r="C400" s="10"/>
      <c r="D400" s="10"/>
      <c r="E400" s="10"/>
      <c r="F400" s="12"/>
      <c r="G400" s="12"/>
      <c r="H400" s="12"/>
      <c r="I400" s="10"/>
      <c r="J400" s="11"/>
      <c r="K400" s="11"/>
      <c r="L400" s="11"/>
      <c r="M400" s="11"/>
      <c r="N400" s="11"/>
      <c r="O400" s="10"/>
      <c r="P400" s="10"/>
      <c r="Q400" s="10"/>
      <c r="R400" s="10"/>
      <c r="S400" s="10"/>
      <c r="T400" s="10"/>
    </row>
    <row r="401" spans="1:20" s="2" customFormat="1" x14ac:dyDescent="0.25">
      <c r="A401" s="14"/>
      <c r="B401" s="13"/>
      <c r="C401" s="10"/>
      <c r="D401" s="10"/>
      <c r="E401" s="10"/>
      <c r="F401" s="12"/>
      <c r="G401" s="12"/>
      <c r="H401" s="12"/>
      <c r="I401" s="10"/>
      <c r="J401" s="11"/>
      <c r="K401" s="11"/>
      <c r="L401" s="11"/>
      <c r="M401" s="11"/>
      <c r="N401" s="11"/>
      <c r="O401" s="10"/>
      <c r="P401" s="10"/>
      <c r="Q401" s="10"/>
      <c r="R401" s="10"/>
      <c r="S401" s="10"/>
      <c r="T401" s="10"/>
    </row>
    <row r="402" spans="1:20" s="2" customFormat="1" x14ac:dyDescent="0.25">
      <c r="A402" s="14"/>
      <c r="B402" s="13"/>
      <c r="C402" s="10"/>
      <c r="D402" s="10"/>
      <c r="E402" s="10"/>
      <c r="F402" s="12"/>
      <c r="G402" s="12"/>
      <c r="H402" s="12"/>
      <c r="I402" s="10"/>
      <c r="J402" s="11"/>
      <c r="K402" s="11"/>
      <c r="L402" s="11"/>
      <c r="M402" s="11"/>
      <c r="N402" s="11"/>
      <c r="O402" s="10"/>
      <c r="P402" s="10"/>
      <c r="Q402" s="10"/>
      <c r="R402" s="10"/>
      <c r="S402" s="10"/>
      <c r="T402" s="10"/>
    </row>
    <row r="403" spans="1:20" s="2" customFormat="1" x14ac:dyDescent="0.25">
      <c r="A403" s="14"/>
      <c r="B403" s="13"/>
      <c r="C403" s="10"/>
      <c r="D403" s="10"/>
      <c r="E403" s="10"/>
      <c r="F403" s="12"/>
      <c r="G403" s="12"/>
      <c r="H403" s="12"/>
      <c r="I403" s="10"/>
      <c r="J403" s="11"/>
      <c r="K403" s="11"/>
      <c r="L403" s="11"/>
      <c r="M403" s="11"/>
      <c r="N403" s="11"/>
      <c r="O403" s="10"/>
      <c r="P403" s="10"/>
      <c r="Q403" s="10"/>
      <c r="R403" s="10"/>
      <c r="S403" s="10"/>
      <c r="T403" s="10"/>
    </row>
    <row r="404" spans="1:20" s="2" customFormat="1" x14ac:dyDescent="0.25">
      <c r="A404" s="14"/>
      <c r="B404" s="13"/>
      <c r="C404" s="10"/>
      <c r="D404" s="10"/>
      <c r="E404" s="10"/>
      <c r="F404" s="12"/>
      <c r="G404" s="12"/>
      <c r="H404" s="12"/>
      <c r="I404" s="10"/>
      <c r="J404" s="11"/>
      <c r="K404" s="11"/>
      <c r="L404" s="11"/>
      <c r="M404" s="11"/>
      <c r="N404" s="11"/>
      <c r="O404" s="10"/>
      <c r="P404" s="10"/>
      <c r="Q404" s="10"/>
      <c r="R404" s="10"/>
      <c r="S404" s="10"/>
      <c r="T404" s="10"/>
    </row>
    <row r="405" spans="1:20" s="2" customFormat="1" x14ac:dyDescent="0.25">
      <c r="A405" s="14"/>
      <c r="B405" s="13"/>
      <c r="C405" s="10"/>
      <c r="D405" s="10"/>
      <c r="E405" s="10"/>
      <c r="F405" s="12"/>
      <c r="G405" s="12"/>
      <c r="H405" s="12"/>
      <c r="I405" s="10"/>
      <c r="J405" s="11"/>
      <c r="K405" s="11"/>
      <c r="L405" s="11"/>
      <c r="M405" s="11"/>
      <c r="N405" s="11"/>
      <c r="O405" s="10"/>
      <c r="P405" s="10"/>
      <c r="Q405" s="10"/>
      <c r="R405" s="10"/>
      <c r="S405" s="10"/>
      <c r="T405" s="10"/>
    </row>
    <row r="406" spans="1:20" s="2" customFormat="1" x14ac:dyDescent="0.25">
      <c r="A406" s="14"/>
      <c r="B406" s="13"/>
      <c r="C406" s="10"/>
      <c r="D406" s="10"/>
      <c r="E406" s="10"/>
      <c r="F406" s="12"/>
      <c r="G406" s="12"/>
      <c r="H406" s="12"/>
      <c r="I406" s="10"/>
      <c r="J406" s="11"/>
      <c r="K406" s="11"/>
      <c r="L406" s="11"/>
      <c r="M406" s="11"/>
      <c r="N406" s="11"/>
      <c r="O406" s="10"/>
      <c r="P406" s="10"/>
      <c r="Q406" s="10"/>
      <c r="R406" s="10"/>
      <c r="S406" s="10"/>
      <c r="T406" s="10"/>
    </row>
    <row r="407" spans="1:20" s="2" customFormat="1" x14ac:dyDescent="0.25">
      <c r="A407" s="14"/>
      <c r="B407" s="13"/>
      <c r="C407" s="10"/>
      <c r="D407" s="10"/>
      <c r="E407" s="10"/>
      <c r="F407" s="12"/>
      <c r="G407" s="12"/>
      <c r="H407" s="12"/>
      <c r="I407" s="10"/>
      <c r="J407" s="11"/>
      <c r="K407" s="11"/>
      <c r="L407" s="11"/>
      <c r="M407" s="11"/>
      <c r="N407" s="11"/>
      <c r="O407" s="10"/>
      <c r="P407" s="10"/>
      <c r="Q407" s="10"/>
      <c r="R407" s="10"/>
      <c r="S407" s="10"/>
      <c r="T407" s="10"/>
    </row>
    <row r="408" spans="1:20" s="2" customFormat="1" x14ac:dyDescent="0.25">
      <c r="A408" s="14"/>
      <c r="B408" s="13"/>
      <c r="C408" s="10"/>
      <c r="D408" s="10"/>
      <c r="E408" s="10"/>
      <c r="F408" s="12"/>
      <c r="G408" s="12"/>
      <c r="H408" s="12"/>
      <c r="I408" s="10"/>
      <c r="J408" s="11"/>
      <c r="K408" s="11"/>
      <c r="L408" s="11"/>
      <c r="M408" s="11"/>
      <c r="N408" s="11"/>
      <c r="O408" s="10"/>
      <c r="P408" s="10"/>
      <c r="Q408" s="10"/>
      <c r="R408" s="10"/>
      <c r="S408" s="10"/>
      <c r="T408" s="10"/>
    </row>
    <row r="409" spans="1:20" s="2" customFormat="1" x14ac:dyDescent="0.25">
      <c r="A409" s="14"/>
      <c r="B409" s="13"/>
      <c r="C409" s="10"/>
      <c r="D409" s="10"/>
      <c r="E409" s="10"/>
      <c r="F409" s="12"/>
      <c r="G409" s="12"/>
      <c r="H409" s="12"/>
      <c r="I409" s="10"/>
      <c r="J409" s="11"/>
      <c r="K409" s="11"/>
      <c r="L409" s="11"/>
      <c r="M409" s="11"/>
      <c r="N409" s="11"/>
      <c r="O409" s="10"/>
      <c r="P409" s="10"/>
      <c r="Q409" s="10"/>
      <c r="R409" s="10"/>
      <c r="S409" s="10"/>
      <c r="T409" s="10"/>
    </row>
    <row r="410" spans="1:20" s="2" customFormat="1" x14ac:dyDescent="0.25">
      <c r="A410" s="14"/>
      <c r="B410" s="13"/>
      <c r="C410" s="10"/>
      <c r="D410" s="10"/>
      <c r="E410" s="10"/>
      <c r="F410" s="12"/>
      <c r="G410" s="12"/>
      <c r="H410" s="12"/>
      <c r="I410" s="10"/>
      <c r="J410" s="11"/>
      <c r="K410" s="11"/>
      <c r="L410" s="11"/>
      <c r="M410" s="11"/>
      <c r="N410" s="11"/>
      <c r="O410" s="10"/>
      <c r="P410" s="10"/>
      <c r="Q410" s="10"/>
      <c r="R410" s="10"/>
      <c r="S410" s="10"/>
      <c r="T410" s="10"/>
    </row>
    <row r="411" spans="1:20" s="2" customFormat="1" x14ac:dyDescent="0.25">
      <c r="A411" s="14"/>
      <c r="B411" s="13"/>
      <c r="C411" s="10"/>
      <c r="D411" s="10"/>
      <c r="E411" s="10"/>
      <c r="F411" s="12"/>
      <c r="G411" s="12"/>
      <c r="H411" s="12"/>
      <c r="I411" s="10"/>
      <c r="J411" s="11"/>
      <c r="K411" s="11"/>
      <c r="L411" s="11"/>
      <c r="M411" s="11"/>
      <c r="N411" s="11"/>
      <c r="O411" s="10"/>
      <c r="P411" s="10"/>
      <c r="Q411" s="10"/>
      <c r="R411" s="10"/>
      <c r="S411" s="10"/>
      <c r="T411" s="10"/>
    </row>
    <row r="412" spans="1:20" s="2" customFormat="1" x14ac:dyDescent="0.25">
      <c r="A412" s="14"/>
      <c r="B412" s="13"/>
      <c r="C412" s="10"/>
      <c r="D412" s="10"/>
      <c r="E412" s="10"/>
      <c r="F412" s="12"/>
      <c r="G412" s="12"/>
      <c r="H412" s="12"/>
      <c r="I412" s="10"/>
      <c r="J412" s="11"/>
      <c r="K412" s="11"/>
      <c r="L412" s="11"/>
      <c r="M412" s="11"/>
      <c r="N412" s="11"/>
      <c r="O412" s="10"/>
      <c r="P412" s="10"/>
      <c r="Q412" s="10"/>
      <c r="R412" s="10"/>
      <c r="S412" s="10"/>
      <c r="T412" s="10"/>
    </row>
    <row r="413" spans="1:20" s="2" customFormat="1" x14ac:dyDescent="0.25">
      <c r="A413" s="14"/>
      <c r="B413" s="13"/>
      <c r="C413" s="10"/>
      <c r="D413" s="10"/>
      <c r="E413" s="10"/>
      <c r="F413" s="12"/>
      <c r="G413" s="12"/>
      <c r="H413" s="12"/>
      <c r="I413" s="10"/>
      <c r="J413" s="11"/>
      <c r="K413" s="11"/>
      <c r="L413" s="11"/>
      <c r="M413" s="11"/>
      <c r="N413" s="11"/>
      <c r="O413" s="10"/>
      <c r="P413" s="10"/>
      <c r="Q413" s="10"/>
      <c r="R413" s="10"/>
      <c r="S413" s="10"/>
      <c r="T413" s="10"/>
    </row>
    <row r="414" spans="1:20" s="2" customFormat="1" x14ac:dyDescent="0.25">
      <c r="A414" s="14"/>
      <c r="B414" s="13"/>
      <c r="C414" s="10"/>
      <c r="D414" s="10"/>
      <c r="E414" s="10"/>
      <c r="F414" s="12"/>
      <c r="G414" s="12"/>
      <c r="H414" s="12"/>
      <c r="I414" s="10"/>
      <c r="J414" s="11"/>
      <c r="K414" s="11"/>
      <c r="L414" s="11"/>
      <c r="M414" s="11"/>
      <c r="N414" s="11"/>
      <c r="O414" s="10"/>
      <c r="P414" s="10"/>
      <c r="Q414" s="10"/>
      <c r="R414" s="10"/>
      <c r="S414" s="10"/>
      <c r="T414" s="10"/>
    </row>
    <row r="415" spans="1:20" s="2" customFormat="1" x14ac:dyDescent="0.25">
      <c r="A415" s="14"/>
      <c r="B415" s="13"/>
      <c r="C415" s="10"/>
      <c r="D415" s="10"/>
      <c r="E415" s="10"/>
      <c r="F415" s="12"/>
      <c r="G415" s="12"/>
      <c r="H415" s="12"/>
      <c r="I415" s="10"/>
      <c r="J415" s="11"/>
      <c r="K415" s="11"/>
      <c r="L415" s="11"/>
      <c r="M415" s="11"/>
      <c r="N415" s="11"/>
      <c r="O415" s="10"/>
      <c r="P415" s="10"/>
      <c r="Q415" s="10"/>
      <c r="R415" s="10"/>
      <c r="S415" s="10"/>
      <c r="T415" s="10"/>
    </row>
    <row r="416" spans="1:20" s="2" customFormat="1" x14ac:dyDescent="0.25">
      <c r="A416" s="14"/>
      <c r="B416" s="13"/>
      <c r="C416" s="10"/>
      <c r="D416" s="10"/>
      <c r="E416" s="10"/>
      <c r="F416" s="12"/>
      <c r="G416" s="12"/>
      <c r="H416" s="12"/>
      <c r="I416" s="10"/>
      <c r="J416" s="11"/>
      <c r="K416" s="11"/>
      <c r="L416" s="11"/>
      <c r="M416" s="11"/>
      <c r="N416" s="11"/>
      <c r="O416" s="10"/>
      <c r="P416" s="10"/>
      <c r="Q416" s="10"/>
      <c r="R416" s="10"/>
      <c r="S416" s="10"/>
      <c r="T416" s="10"/>
    </row>
    <row r="417" spans="1:20" s="2" customFormat="1" x14ac:dyDescent="0.25">
      <c r="A417" s="14"/>
      <c r="B417" s="13"/>
      <c r="C417" s="10"/>
      <c r="D417" s="10"/>
      <c r="E417" s="10"/>
      <c r="F417" s="12"/>
      <c r="G417" s="12"/>
      <c r="H417" s="12"/>
      <c r="I417" s="10"/>
      <c r="J417" s="11"/>
      <c r="K417" s="11"/>
      <c r="L417" s="11"/>
      <c r="M417" s="11"/>
      <c r="N417" s="11"/>
      <c r="O417" s="10"/>
      <c r="P417" s="10"/>
      <c r="Q417" s="10"/>
      <c r="R417" s="10"/>
      <c r="S417" s="10"/>
      <c r="T417" s="10"/>
    </row>
    <row r="418" spans="1:20" s="2" customFormat="1" x14ac:dyDescent="0.25">
      <c r="A418" s="14"/>
      <c r="B418" s="13"/>
      <c r="C418" s="10"/>
      <c r="D418" s="10"/>
      <c r="E418" s="10"/>
      <c r="F418" s="12"/>
      <c r="G418" s="12"/>
      <c r="H418" s="12"/>
      <c r="I418" s="10"/>
      <c r="J418" s="11"/>
      <c r="K418" s="11"/>
      <c r="L418" s="11"/>
      <c r="M418" s="11"/>
      <c r="N418" s="11"/>
      <c r="O418" s="10"/>
      <c r="P418" s="10"/>
      <c r="Q418" s="10"/>
      <c r="R418" s="10"/>
      <c r="S418" s="10"/>
      <c r="T418" s="10"/>
    </row>
    <row r="419" spans="1:20" s="2" customFormat="1" x14ac:dyDescent="0.25">
      <c r="A419" s="14"/>
      <c r="B419" s="13"/>
      <c r="C419" s="10"/>
      <c r="D419" s="10"/>
      <c r="E419" s="10"/>
      <c r="F419" s="12"/>
      <c r="G419" s="12"/>
      <c r="H419" s="12"/>
      <c r="I419" s="10"/>
      <c r="J419" s="11"/>
      <c r="K419" s="11"/>
      <c r="L419" s="11"/>
      <c r="M419" s="11"/>
      <c r="N419" s="11"/>
      <c r="O419" s="10"/>
      <c r="P419" s="10"/>
      <c r="Q419" s="10"/>
      <c r="R419" s="10"/>
      <c r="S419" s="10"/>
      <c r="T419" s="10"/>
    </row>
    <row r="420" spans="1:20" s="2" customFormat="1" x14ac:dyDescent="0.25">
      <c r="A420" s="14"/>
      <c r="B420" s="13"/>
      <c r="C420" s="10"/>
      <c r="D420" s="10"/>
      <c r="E420" s="10"/>
      <c r="F420" s="12"/>
      <c r="G420" s="12"/>
      <c r="H420" s="12"/>
      <c r="I420" s="10"/>
      <c r="J420" s="11"/>
      <c r="K420" s="11"/>
      <c r="L420" s="11"/>
      <c r="M420" s="11"/>
      <c r="N420" s="11"/>
      <c r="O420" s="10"/>
      <c r="P420" s="10"/>
      <c r="Q420" s="10"/>
      <c r="R420" s="10"/>
      <c r="S420" s="10"/>
      <c r="T420" s="10"/>
    </row>
    <row r="421" spans="1:20" s="2" customFormat="1" x14ac:dyDescent="0.25">
      <c r="A421" s="14"/>
      <c r="B421" s="13"/>
      <c r="C421" s="10"/>
      <c r="D421" s="10"/>
      <c r="E421" s="10"/>
      <c r="F421" s="12"/>
      <c r="G421" s="12"/>
      <c r="H421" s="12"/>
      <c r="I421" s="10"/>
      <c r="J421" s="11"/>
      <c r="K421" s="11"/>
      <c r="L421" s="11"/>
      <c r="M421" s="11"/>
      <c r="N421" s="11"/>
      <c r="O421" s="10"/>
      <c r="P421" s="10"/>
      <c r="Q421" s="10"/>
      <c r="R421" s="10"/>
      <c r="S421" s="10"/>
      <c r="T421" s="10"/>
    </row>
    <row r="422" spans="1:20" s="2" customFormat="1" x14ac:dyDescent="0.25">
      <c r="A422" s="14"/>
      <c r="B422" s="13"/>
      <c r="C422" s="10"/>
      <c r="D422" s="10"/>
      <c r="E422" s="10"/>
      <c r="F422" s="12"/>
      <c r="G422" s="12"/>
      <c r="H422" s="12"/>
      <c r="I422" s="10"/>
      <c r="J422" s="11"/>
      <c r="K422" s="11"/>
      <c r="L422" s="11"/>
      <c r="M422" s="11"/>
      <c r="N422" s="11"/>
      <c r="O422" s="10"/>
      <c r="P422" s="10"/>
      <c r="Q422" s="10"/>
      <c r="R422" s="10"/>
      <c r="S422" s="10"/>
      <c r="T422" s="10"/>
    </row>
    <row r="423" spans="1:20" s="2" customFormat="1" x14ac:dyDescent="0.25">
      <c r="A423" s="14"/>
      <c r="B423" s="13"/>
      <c r="C423" s="10"/>
      <c r="D423" s="10"/>
      <c r="E423" s="10"/>
      <c r="F423" s="12"/>
      <c r="G423" s="12"/>
      <c r="H423" s="12"/>
      <c r="I423" s="10"/>
      <c r="J423" s="11"/>
      <c r="K423" s="11"/>
      <c r="L423" s="11"/>
      <c r="M423" s="11"/>
      <c r="N423" s="11"/>
      <c r="O423" s="10"/>
      <c r="P423" s="10"/>
      <c r="Q423" s="10"/>
      <c r="R423" s="10"/>
      <c r="S423" s="10"/>
      <c r="T423" s="10"/>
    </row>
    <row r="424" spans="1:20" s="2" customFormat="1" x14ac:dyDescent="0.25">
      <c r="A424" s="14"/>
      <c r="B424" s="13"/>
      <c r="C424" s="10"/>
      <c r="D424" s="10"/>
      <c r="E424" s="10"/>
      <c r="F424" s="12"/>
      <c r="G424" s="12"/>
      <c r="H424" s="12"/>
      <c r="I424" s="10"/>
      <c r="J424" s="11"/>
      <c r="K424" s="11"/>
      <c r="L424" s="11"/>
      <c r="M424" s="11"/>
      <c r="N424" s="11"/>
      <c r="O424" s="10"/>
      <c r="P424" s="10"/>
      <c r="Q424" s="10"/>
      <c r="R424" s="10"/>
      <c r="S424" s="10"/>
      <c r="T424" s="10"/>
    </row>
    <row r="425" spans="1:20" s="2" customFormat="1" x14ac:dyDescent="0.25">
      <c r="A425" s="14"/>
      <c r="B425" s="13"/>
      <c r="C425" s="10"/>
      <c r="D425" s="10"/>
      <c r="E425" s="10"/>
      <c r="F425" s="12"/>
      <c r="G425" s="12"/>
      <c r="H425" s="12"/>
      <c r="I425" s="10"/>
      <c r="J425" s="11"/>
      <c r="K425" s="11"/>
      <c r="L425" s="11"/>
      <c r="M425" s="11"/>
      <c r="N425" s="11"/>
      <c r="O425" s="10"/>
      <c r="P425" s="10"/>
      <c r="Q425" s="10"/>
      <c r="R425" s="10"/>
      <c r="S425" s="10"/>
      <c r="T425" s="10"/>
    </row>
    <row r="426" spans="1:20" s="2" customFormat="1" x14ac:dyDescent="0.25">
      <c r="A426" s="14"/>
      <c r="B426" s="13"/>
      <c r="C426" s="10"/>
      <c r="D426" s="10"/>
      <c r="E426" s="10"/>
      <c r="F426" s="12"/>
      <c r="G426" s="12"/>
      <c r="H426" s="12"/>
      <c r="I426" s="10"/>
      <c r="J426" s="11"/>
      <c r="K426" s="11"/>
      <c r="L426" s="11"/>
      <c r="M426" s="11"/>
      <c r="N426" s="11"/>
      <c r="O426" s="10"/>
      <c r="P426" s="10"/>
      <c r="Q426" s="10"/>
      <c r="R426" s="10"/>
      <c r="S426" s="10"/>
      <c r="T426" s="10"/>
    </row>
    <row r="427" spans="1:20" s="2" customFormat="1" x14ac:dyDescent="0.25">
      <c r="A427" s="14"/>
      <c r="B427" s="13"/>
      <c r="C427" s="10"/>
      <c r="D427" s="10"/>
      <c r="E427" s="10"/>
      <c r="F427" s="12"/>
      <c r="G427" s="12"/>
      <c r="H427" s="12"/>
      <c r="I427" s="10"/>
      <c r="J427" s="11"/>
      <c r="K427" s="11"/>
      <c r="L427" s="11"/>
      <c r="M427" s="11"/>
      <c r="N427" s="11"/>
      <c r="O427" s="10"/>
      <c r="P427" s="10"/>
      <c r="Q427" s="10"/>
      <c r="R427" s="10"/>
      <c r="S427" s="10"/>
      <c r="T427" s="10"/>
    </row>
    <row r="428" spans="1:20" s="2" customFormat="1" x14ac:dyDescent="0.25">
      <c r="A428" s="14"/>
      <c r="B428" s="13"/>
      <c r="C428" s="10"/>
      <c r="D428" s="10"/>
      <c r="E428" s="10"/>
      <c r="F428" s="12"/>
      <c r="G428" s="12"/>
      <c r="H428" s="12"/>
      <c r="I428" s="10"/>
      <c r="J428" s="11"/>
      <c r="K428" s="11"/>
      <c r="L428" s="11"/>
      <c r="M428" s="11"/>
      <c r="N428" s="11"/>
      <c r="O428" s="10"/>
      <c r="P428" s="10"/>
      <c r="Q428" s="10"/>
      <c r="R428" s="10"/>
      <c r="S428" s="10"/>
      <c r="T428" s="10"/>
    </row>
    <row r="429" spans="1:20" s="2" customFormat="1" x14ac:dyDescent="0.25">
      <c r="A429" s="14"/>
      <c r="B429" s="13"/>
      <c r="C429" s="10"/>
      <c r="D429" s="10"/>
      <c r="E429" s="10"/>
      <c r="F429" s="12"/>
      <c r="G429" s="12"/>
      <c r="H429" s="12"/>
      <c r="I429" s="10"/>
      <c r="J429" s="11"/>
      <c r="K429" s="11"/>
      <c r="L429" s="11"/>
      <c r="M429" s="11"/>
      <c r="N429" s="11"/>
      <c r="O429" s="10"/>
      <c r="P429" s="10"/>
      <c r="Q429" s="10"/>
      <c r="R429" s="10"/>
      <c r="S429" s="10"/>
      <c r="T429" s="10"/>
    </row>
    <row r="430" spans="1:20" s="2" customFormat="1" x14ac:dyDescent="0.25">
      <c r="A430" s="14"/>
      <c r="B430" s="13"/>
      <c r="C430" s="10"/>
      <c r="D430" s="10"/>
      <c r="E430" s="10"/>
      <c r="F430" s="12"/>
      <c r="G430" s="12"/>
      <c r="H430" s="12"/>
      <c r="I430" s="10"/>
      <c r="J430" s="11"/>
      <c r="K430" s="11"/>
      <c r="L430" s="11"/>
      <c r="M430" s="11"/>
      <c r="N430" s="11"/>
      <c r="O430" s="10"/>
      <c r="P430" s="10"/>
      <c r="Q430" s="10"/>
      <c r="R430" s="10"/>
      <c r="S430" s="10"/>
      <c r="T430" s="10"/>
    </row>
    <row r="431" spans="1:20" s="2" customFormat="1" x14ac:dyDescent="0.25">
      <c r="A431" s="14"/>
      <c r="B431" s="13"/>
      <c r="C431" s="10"/>
      <c r="D431" s="10"/>
      <c r="E431" s="10"/>
      <c r="F431" s="12"/>
      <c r="G431" s="12"/>
      <c r="H431" s="12"/>
      <c r="I431" s="10"/>
      <c r="J431" s="11"/>
      <c r="K431" s="11"/>
      <c r="L431" s="11"/>
      <c r="M431" s="11"/>
      <c r="N431" s="11"/>
      <c r="O431" s="10"/>
      <c r="P431" s="10"/>
      <c r="Q431" s="10"/>
      <c r="R431" s="10"/>
      <c r="S431" s="10"/>
      <c r="T431" s="10"/>
    </row>
    <row r="432" spans="1:20" s="2" customFormat="1" x14ac:dyDescent="0.25">
      <c r="A432" s="14"/>
      <c r="B432" s="13"/>
      <c r="C432" s="10"/>
      <c r="D432" s="10"/>
      <c r="E432" s="10"/>
      <c r="F432" s="12"/>
      <c r="G432" s="12"/>
      <c r="H432" s="12"/>
      <c r="I432" s="10"/>
      <c r="J432" s="11"/>
      <c r="K432" s="11"/>
      <c r="L432" s="11"/>
      <c r="M432" s="11"/>
      <c r="N432" s="11"/>
      <c r="O432" s="10"/>
      <c r="P432" s="10"/>
      <c r="Q432" s="10"/>
      <c r="R432" s="10"/>
      <c r="S432" s="10"/>
      <c r="T432" s="10"/>
    </row>
    <row r="433" spans="1:20" s="2" customFormat="1" x14ac:dyDescent="0.25">
      <c r="A433" s="14"/>
      <c r="B433" s="13"/>
      <c r="C433" s="10"/>
      <c r="D433" s="10"/>
      <c r="E433" s="10"/>
      <c r="F433" s="12"/>
      <c r="G433" s="12"/>
      <c r="H433" s="12"/>
      <c r="I433" s="10"/>
      <c r="J433" s="11"/>
      <c r="K433" s="11"/>
      <c r="L433" s="11"/>
      <c r="M433" s="11"/>
      <c r="N433" s="11"/>
      <c r="O433" s="10"/>
      <c r="P433" s="10"/>
      <c r="Q433" s="10"/>
      <c r="R433" s="10"/>
      <c r="S433" s="10"/>
      <c r="T433" s="10"/>
    </row>
    <row r="434" spans="1:20" s="2" customFormat="1" x14ac:dyDescent="0.25">
      <c r="A434" s="14"/>
      <c r="B434" s="13"/>
      <c r="C434" s="10"/>
      <c r="D434" s="10"/>
      <c r="E434" s="10"/>
      <c r="F434" s="12"/>
      <c r="G434" s="12"/>
      <c r="H434" s="12"/>
      <c r="I434" s="10"/>
      <c r="J434" s="11"/>
      <c r="K434" s="11"/>
      <c r="L434" s="11"/>
      <c r="M434" s="11"/>
      <c r="N434" s="11"/>
      <c r="O434" s="10"/>
      <c r="P434" s="10"/>
      <c r="Q434" s="10"/>
      <c r="R434" s="10"/>
      <c r="S434" s="10"/>
      <c r="T434" s="10"/>
    </row>
    <row r="435" spans="1:20" s="2" customFormat="1" x14ac:dyDescent="0.25">
      <c r="A435" s="14"/>
      <c r="B435" s="13"/>
      <c r="C435" s="10"/>
      <c r="D435" s="10"/>
      <c r="E435" s="10"/>
      <c r="F435" s="12"/>
      <c r="G435" s="12"/>
      <c r="H435" s="12"/>
      <c r="I435" s="10"/>
      <c r="J435" s="11"/>
      <c r="K435" s="11"/>
      <c r="L435" s="11"/>
      <c r="M435" s="11"/>
      <c r="N435" s="11"/>
      <c r="O435" s="10"/>
      <c r="P435" s="10"/>
      <c r="Q435" s="10"/>
      <c r="R435" s="10"/>
      <c r="S435" s="10"/>
      <c r="T435" s="10"/>
    </row>
    <row r="436" spans="1:20" s="2" customFormat="1" x14ac:dyDescent="0.25">
      <c r="A436" s="14"/>
      <c r="B436" s="13"/>
      <c r="C436" s="10"/>
      <c r="D436" s="10"/>
      <c r="E436" s="10"/>
      <c r="F436" s="12"/>
      <c r="G436" s="12"/>
      <c r="H436" s="12"/>
      <c r="I436" s="10"/>
      <c r="J436" s="11"/>
      <c r="K436" s="11"/>
      <c r="L436" s="11"/>
      <c r="M436" s="11"/>
      <c r="N436" s="11"/>
      <c r="O436" s="10"/>
      <c r="P436" s="10"/>
      <c r="Q436" s="10"/>
      <c r="R436" s="10"/>
      <c r="S436" s="10"/>
      <c r="T436" s="10"/>
    </row>
    <row r="437" spans="1:20" s="2" customFormat="1" x14ac:dyDescent="0.25">
      <c r="A437" s="14"/>
      <c r="B437" s="13"/>
      <c r="C437" s="10"/>
      <c r="D437" s="10"/>
      <c r="E437" s="10"/>
      <c r="F437" s="12"/>
      <c r="G437" s="12"/>
      <c r="H437" s="12"/>
      <c r="I437" s="10"/>
      <c r="J437" s="11"/>
      <c r="K437" s="11"/>
      <c r="L437" s="11"/>
      <c r="M437" s="11"/>
      <c r="N437" s="11"/>
      <c r="O437" s="10"/>
      <c r="P437" s="10"/>
      <c r="Q437" s="10"/>
      <c r="R437" s="10"/>
      <c r="S437" s="10"/>
      <c r="T437" s="10"/>
    </row>
    <row r="438" spans="1:20" s="2" customFormat="1" x14ac:dyDescent="0.25">
      <c r="A438" s="14"/>
      <c r="B438" s="13"/>
      <c r="C438" s="10"/>
      <c r="D438" s="10"/>
      <c r="E438" s="10"/>
      <c r="F438" s="12"/>
      <c r="G438" s="12"/>
      <c r="H438" s="12"/>
      <c r="I438" s="10"/>
      <c r="J438" s="11"/>
      <c r="K438" s="11"/>
      <c r="L438" s="11"/>
      <c r="M438" s="11"/>
      <c r="N438" s="11"/>
      <c r="O438" s="10"/>
      <c r="P438" s="10"/>
      <c r="Q438" s="10"/>
      <c r="R438" s="10"/>
      <c r="S438" s="10"/>
      <c r="T438" s="10"/>
    </row>
    <row r="439" spans="1:20" s="2" customFormat="1" x14ac:dyDescent="0.25">
      <c r="A439" s="14"/>
      <c r="B439" s="13"/>
      <c r="C439" s="10"/>
      <c r="D439" s="10"/>
      <c r="E439" s="10"/>
      <c r="F439" s="12"/>
      <c r="G439" s="12"/>
      <c r="H439" s="12"/>
      <c r="I439" s="10"/>
      <c r="J439" s="11"/>
      <c r="K439" s="11"/>
      <c r="L439" s="11"/>
      <c r="M439" s="11"/>
      <c r="N439" s="11"/>
      <c r="O439" s="10"/>
      <c r="P439" s="10"/>
      <c r="Q439" s="10"/>
      <c r="R439" s="10"/>
      <c r="S439" s="10"/>
      <c r="T439" s="10"/>
    </row>
    <row r="440" spans="1:20" s="2" customFormat="1" x14ac:dyDescent="0.25">
      <c r="A440" s="14"/>
      <c r="B440" s="13"/>
      <c r="C440" s="10"/>
      <c r="D440" s="10"/>
      <c r="E440" s="10"/>
      <c r="F440" s="12"/>
      <c r="G440" s="12"/>
      <c r="H440" s="12"/>
      <c r="I440" s="10"/>
      <c r="J440" s="11"/>
      <c r="K440" s="11"/>
      <c r="L440" s="11"/>
      <c r="M440" s="11"/>
      <c r="N440" s="11"/>
      <c r="O440" s="10"/>
      <c r="P440" s="10"/>
      <c r="Q440" s="10"/>
      <c r="R440" s="10"/>
      <c r="S440" s="10"/>
      <c r="T440" s="10"/>
    </row>
    <row r="441" spans="1:20" s="2" customFormat="1" x14ac:dyDescent="0.25">
      <c r="A441" s="14"/>
      <c r="B441" s="13"/>
      <c r="C441" s="10"/>
      <c r="D441" s="10"/>
      <c r="E441" s="10"/>
      <c r="F441" s="12"/>
      <c r="G441" s="12"/>
      <c r="H441" s="12"/>
      <c r="I441" s="10"/>
      <c r="J441" s="11"/>
      <c r="K441" s="11"/>
      <c r="L441" s="11"/>
      <c r="M441" s="11"/>
      <c r="N441" s="11"/>
      <c r="O441" s="10"/>
      <c r="P441" s="10"/>
      <c r="Q441" s="10"/>
      <c r="R441" s="10"/>
      <c r="S441" s="10"/>
      <c r="T441" s="10"/>
    </row>
    <row r="442" spans="1:20" s="2" customFormat="1" x14ac:dyDescent="0.25">
      <c r="A442" s="14"/>
      <c r="B442" s="13"/>
      <c r="C442" s="10"/>
      <c r="D442" s="10"/>
      <c r="E442" s="10"/>
      <c r="F442" s="12"/>
      <c r="G442" s="12"/>
      <c r="H442" s="12"/>
      <c r="I442" s="10"/>
      <c r="J442" s="11"/>
      <c r="K442" s="11"/>
      <c r="L442" s="11"/>
      <c r="M442" s="11"/>
      <c r="N442" s="11"/>
      <c r="O442" s="10"/>
      <c r="P442" s="10"/>
      <c r="Q442" s="10"/>
      <c r="R442" s="10"/>
      <c r="S442" s="10"/>
      <c r="T442" s="10"/>
    </row>
    <row r="443" spans="1:20" s="2" customFormat="1" x14ac:dyDescent="0.25">
      <c r="A443" s="14"/>
      <c r="B443" s="13"/>
      <c r="C443" s="10"/>
      <c r="D443" s="10"/>
      <c r="E443" s="10"/>
      <c r="F443" s="12"/>
      <c r="G443" s="12"/>
      <c r="H443" s="12"/>
      <c r="I443" s="10"/>
      <c r="J443" s="11"/>
      <c r="K443" s="11"/>
      <c r="L443" s="11"/>
      <c r="M443" s="11"/>
      <c r="N443" s="11"/>
      <c r="O443" s="10"/>
      <c r="P443" s="10"/>
      <c r="Q443" s="10"/>
      <c r="R443" s="10"/>
      <c r="S443" s="10"/>
      <c r="T443" s="10"/>
    </row>
    <row r="444" spans="1:20" s="2" customFormat="1" x14ac:dyDescent="0.25">
      <c r="A444" s="14"/>
      <c r="B444" s="13"/>
      <c r="C444" s="10"/>
      <c r="D444" s="10"/>
      <c r="E444" s="10"/>
      <c r="F444" s="12"/>
      <c r="G444" s="12"/>
      <c r="H444" s="12"/>
      <c r="I444" s="10"/>
      <c r="J444" s="11"/>
      <c r="K444" s="11"/>
      <c r="L444" s="11"/>
      <c r="M444" s="11"/>
      <c r="N444" s="11"/>
      <c r="O444" s="10"/>
      <c r="P444" s="10"/>
      <c r="Q444" s="10"/>
      <c r="R444" s="10"/>
      <c r="S444" s="10"/>
      <c r="T444" s="10"/>
    </row>
    <row r="445" spans="1:20" s="2" customFormat="1" x14ac:dyDescent="0.25">
      <c r="A445" s="14"/>
      <c r="B445" s="13"/>
      <c r="C445" s="10"/>
      <c r="D445" s="10"/>
      <c r="E445" s="10"/>
      <c r="F445" s="12"/>
      <c r="G445" s="12"/>
      <c r="H445" s="12"/>
      <c r="I445" s="10"/>
      <c r="J445" s="11"/>
      <c r="K445" s="11"/>
      <c r="L445" s="11"/>
      <c r="M445" s="11"/>
      <c r="N445" s="11"/>
      <c r="O445" s="10"/>
      <c r="P445" s="10"/>
      <c r="Q445" s="10"/>
      <c r="R445" s="10"/>
      <c r="S445" s="10"/>
      <c r="T445" s="10"/>
    </row>
    <row r="446" spans="1:20" s="2" customFormat="1" x14ac:dyDescent="0.25">
      <c r="A446" s="14"/>
      <c r="B446" s="13"/>
      <c r="C446" s="10"/>
      <c r="D446" s="10"/>
      <c r="E446" s="10"/>
      <c r="F446" s="12"/>
      <c r="G446" s="12"/>
      <c r="H446" s="12"/>
      <c r="I446" s="10"/>
      <c r="J446" s="11"/>
      <c r="K446" s="11"/>
      <c r="L446" s="11"/>
      <c r="M446" s="11"/>
      <c r="N446" s="11"/>
      <c r="O446" s="10"/>
      <c r="P446" s="10"/>
      <c r="Q446" s="10"/>
      <c r="R446" s="10"/>
      <c r="S446" s="10"/>
      <c r="T446" s="10"/>
    </row>
    <row r="447" spans="1:20" s="2" customFormat="1" x14ac:dyDescent="0.25">
      <c r="A447" s="14"/>
      <c r="B447" s="13"/>
      <c r="C447" s="10"/>
      <c r="D447" s="10"/>
      <c r="E447" s="10"/>
      <c r="F447" s="12"/>
      <c r="G447" s="12"/>
      <c r="H447" s="12"/>
      <c r="I447" s="10"/>
      <c r="J447" s="11"/>
      <c r="K447" s="11"/>
      <c r="L447" s="11"/>
      <c r="M447" s="11"/>
      <c r="N447" s="11"/>
      <c r="O447" s="10"/>
      <c r="P447" s="10"/>
      <c r="Q447" s="10"/>
      <c r="R447" s="10"/>
      <c r="S447" s="10"/>
      <c r="T447" s="10"/>
    </row>
    <row r="448" spans="1:20" s="2" customFormat="1" x14ac:dyDescent="0.25">
      <c r="A448" s="14"/>
      <c r="B448" s="13"/>
      <c r="C448" s="10"/>
      <c r="D448" s="10"/>
      <c r="E448" s="10"/>
      <c r="F448" s="12"/>
      <c r="G448" s="12"/>
      <c r="H448" s="12"/>
      <c r="I448" s="10"/>
      <c r="J448" s="11"/>
      <c r="K448" s="11"/>
      <c r="L448" s="11"/>
      <c r="M448" s="11"/>
      <c r="N448" s="11"/>
      <c r="O448" s="10"/>
      <c r="P448" s="10"/>
      <c r="Q448" s="10"/>
      <c r="R448" s="10"/>
      <c r="S448" s="10"/>
      <c r="T448" s="10"/>
    </row>
    <row r="449" spans="1:20" s="2" customFormat="1" x14ac:dyDescent="0.25">
      <c r="A449" s="14"/>
      <c r="B449" s="13"/>
      <c r="C449" s="10"/>
      <c r="D449" s="10"/>
      <c r="E449" s="10"/>
      <c r="F449" s="12"/>
      <c r="G449" s="12"/>
      <c r="H449" s="12"/>
      <c r="I449" s="10"/>
      <c r="J449" s="11"/>
      <c r="K449" s="11"/>
      <c r="L449" s="11"/>
      <c r="M449" s="11"/>
      <c r="N449" s="11"/>
      <c r="O449" s="10"/>
      <c r="P449" s="10"/>
      <c r="Q449" s="10"/>
      <c r="R449" s="10"/>
      <c r="S449" s="10"/>
      <c r="T449" s="10"/>
    </row>
    <row r="450" spans="1:20" s="2" customFormat="1" x14ac:dyDescent="0.25">
      <c r="A450" s="14"/>
      <c r="B450" s="13"/>
      <c r="C450" s="10"/>
      <c r="D450" s="10"/>
      <c r="E450" s="10"/>
      <c r="F450" s="12"/>
      <c r="G450" s="12"/>
      <c r="H450" s="12"/>
      <c r="I450" s="10"/>
      <c r="J450" s="11"/>
      <c r="K450" s="11"/>
      <c r="L450" s="11"/>
      <c r="M450" s="11"/>
      <c r="N450" s="11"/>
      <c r="O450" s="10"/>
      <c r="P450" s="10"/>
      <c r="Q450" s="10"/>
      <c r="R450" s="10"/>
      <c r="S450" s="10"/>
      <c r="T450" s="10"/>
    </row>
    <row r="451" spans="1:20" s="2" customFormat="1" x14ac:dyDescent="0.25">
      <c r="A451" s="14"/>
      <c r="B451" s="13"/>
      <c r="C451" s="10"/>
      <c r="D451" s="10"/>
      <c r="E451" s="10"/>
      <c r="F451" s="12"/>
      <c r="G451" s="12"/>
      <c r="H451" s="12"/>
      <c r="I451" s="10"/>
      <c r="J451" s="11"/>
      <c r="K451" s="11"/>
      <c r="L451" s="11"/>
      <c r="M451" s="11"/>
      <c r="N451" s="11"/>
      <c r="O451" s="10"/>
      <c r="P451" s="10"/>
      <c r="Q451" s="10"/>
      <c r="R451" s="10"/>
      <c r="S451" s="10"/>
      <c r="T451" s="10"/>
    </row>
    <row r="452" spans="1:20" s="2" customFormat="1" x14ac:dyDescent="0.25">
      <c r="A452" s="14"/>
      <c r="B452" s="13"/>
      <c r="C452" s="10"/>
      <c r="D452" s="10"/>
      <c r="E452" s="10"/>
      <c r="F452" s="12"/>
      <c r="G452" s="12"/>
      <c r="H452" s="12"/>
      <c r="I452" s="10"/>
      <c r="J452" s="11"/>
      <c r="K452" s="11"/>
      <c r="L452" s="11"/>
      <c r="M452" s="11"/>
      <c r="N452" s="11"/>
      <c r="O452" s="10"/>
      <c r="P452" s="10"/>
      <c r="Q452" s="10"/>
      <c r="R452" s="10"/>
      <c r="S452" s="10"/>
      <c r="T452" s="10"/>
    </row>
    <row r="453" spans="1:20" s="2" customFormat="1" x14ac:dyDescent="0.25">
      <c r="A453" s="14"/>
      <c r="B453" s="13"/>
      <c r="C453" s="10"/>
      <c r="D453" s="10"/>
      <c r="E453" s="10"/>
      <c r="F453" s="12"/>
      <c r="G453" s="12"/>
      <c r="H453" s="12"/>
      <c r="I453" s="10"/>
      <c r="J453" s="11"/>
      <c r="K453" s="11"/>
      <c r="L453" s="11"/>
      <c r="M453" s="11"/>
      <c r="N453" s="11"/>
      <c r="O453" s="10"/>
      <c r="P453" s="10"/>
      <c r="Q453" s="10"/>
      <c r="R453" s="10"/>
      <c r="S453" s="10"/>
      <c r="T453" s="10"/>
    </row>
    <row r="454" spans="1:20" s="2" customFormat="1" x14ac:dyDescent="0.25">
      <c r="A454" s="14"/>
      <c r="B454" s="13"/>
      <c r="C454" s="10"/>
      <c r="D454" s="10"/>
      <c r="E454" s="10"/>
      <c r="F454" s="12"/>
      <c r="G454" s="12"/>
      <c r="H454" s="12"/>
      <c r="I454" s="10"/>
      <c r="J454" s="11"/>
      <c r="K454" s="11"/>
      <c r="L454" s="11"/>
      <c r="M454" s="11"/>
      <c r="N454" s="11"/>
      <c r="O454" s="10"/>
      <c r="P454" s="10"/>
      <c r="Q454" s="10"/>
      <c r="R454" s="10"/>
      <c r="S454" s="10"/>
      <c r="T454" s="10"/>
    </row>
    <row r="455" spans="1:20" s="2" customFormat="1" x14ac:dyDescent="0.25">
      <c r="A455" s="14"/>
      <c r="B455" s="13"/>
      <c r="C455" s="10"/>
      <c r="D455" s="10"/>
      <c r="E455" s="10"/>
      <c r="F455" s="12"/>
      <c r="G455" s="12"/>
      <c r="H455" s="12"/>
      <c r="I455" s="10"/>
      <c r="J455" s="11"/>
      <c r="K455" s="11"/>
      <c r="L455" s="11"/>
      <c r="M455" s="11"/>
      <c r="N455" s="11"/>
      <c r="O455" s="10"/>
      <c r="P455" s="10"/>
      <c r="Q455" s="10"/>
      <c r="R455" s="10"/>
      <c r="S455" s="10"/>
      <c r="T455" s="10"/>
    </row>
    <row r="456" spans="1:20" s="2" customFormat="1" x14ac:dyDescent="0.25">
      <c r="A456" s="14"/>
      <c r="B456" s="13"/>
      <c r="C456" s="10"/>
      <c r="D456" s="10"/>
      <c r="E456" s="10"/>
      <c r="F456" s="12"/>
      <c r="G456" s="12"/>
      <c r="H456" s="12"/>
      <c r="I456" s="10"/>
      <c r="J456" s="11"/>
      <c r="K456" s="11"/>
      <c r="L456" s="11"/>
      <c r="M456" s="11"/>
      <c r="N456" s="11"/>
      <c r="O456" s="10"/>
      <c r="P456" s="10"/>
      <c r="Q456" s="10"/>
      <c r="R456" s="10"/>
      <c r="S456" s="10"/>
      <c r="T456" s="10"/>
    </row>
    <row r="457" spans="1:20" s="2" customFormat="1" x14ac:dyDescent="0.25">
      <c r="A457" s="14"/>
      <c r="B457" s="13"/>
      <c r="C457" s="10"/>
      <c r="D457" s="10"/>
      <c r="E457" s="10"/>
      <c r="F457" s="12"/>
      <c r="G457" s="12"/>
      <c r="H457" s="12"/>
      <c r="I457" s="10"/>
      <c r="J457" s="11"/>
      <c r="K457" s="11"/>
      <c r="L457" s="11"/>
      <c r="M457" s="11"/>
      <c r="N457" s="11"/>
      <c r="O457" s="10"/>
      <c r="P457" s="10"/>
      <c r="Q457" s="10"/>
      <c r="R457" s="10"/>
      <c r="S457" s="10"/>
      <c r="T457" s="10"/>
    </row>
    <row r="458" spans="1:20" s="2" customFormat="1" x14ac:dyDescent="0.25">
      <c r="A458" s="14"/>
      <c r="B458" s="13"/>
      <c r="C458" s="10"/>
      <c r="D458" s="10"/>
      <c r="E458" s="10"/>
      <c r="F458" s="12"/>
      <c r="G458" s="12"/>
      <c r="H458" s="12"/>
      <c r="I458" s="10"/>
      <c r="J458" s="11"/>
      <c r="K458" s="11"/>
      <c r="L458" s="11"/>
      <c r="M458" s="11"/>
      <c r="N458" s="11"/>
      <c r="O458" s="10"/>
      <c r="P458" s="10"/>
      <c r="Q458" s="10"/>
      <c r="R458" s="10"/>
      <c r="S458" s="10"/>
      <c r="T458" s="10"/>
    </row>
    <row r="459" spans="1:20" s="2" customFormat="1" x14ac:dyDescent="0.25">
      <c r="A459" s="14"/>
      <c r="B459" s="13"/>
      <c r="C459" s="10"/>
      <c r="D459" s="10"/>
      <c r="E459" s="10"/>
      <c r="F459" s="12"/>
      <c r="G459" s="12"/>
      <c r="H459" s="12"/>
      <c r="I459" s="10"/>
      <c r="J459" s="11"/>
      <c r="K459" s="11"/>
      <c r="L459" s="11"/>
      <c r="M459" s="11"/>
      <c r="N459" s="11"/>
      <c r="O459" s="10"/>
      <c r="P459" s="10"/>
      <c r="Q459" s="10"/>
      <c r="R459" s="10"/>
      <c r="S459" s="10"/>
      <c r="T459" s="10"/>
    </row>
    <row r="460" spans="1:20" s="2" customFormat="1" x14ac:dyDescent="0.25">
      <c r="A460" s="14"/>
      <c r="B460" s="13"/>
      <c r="C460" s="10"/>
      <c r="D460" s="10"/>
      <c r="E460" s="10"/>
      <c r="F460" s="12"/>
      <c r="G460" s="12"/>
      <c r="H460" s="12"/>
      <c r="I460" s="10"/>
      <c r="J460" s="11"/>
      <c r="K460" s="11"/>
      <c r="L460" s="11"/>
      <c r="M460" s="11"/>
      <c r="N460" s="11"/>
      <c r="O460" s="10"/>
      <c r="P460" s="10"/>
      <c r="Q460" s="10"/>
      <c r="R460" s="10"/>
      <c r="S460" s="10"/>
      <c r="T460" s="10"/>
    </row>
    <row r="461" spans="1:20" s="2" customFormat="1" x14ac:dyDescent="0.25">
      <c r="A461" s="14"/>
      <c r="B461" s="13"/>
      <c r="C461" s="10"/>
      <c r="D461" s="10"/>
      <c r="E461" s="10"/>
      <c r="F461" s="12"/>
      <c r="G461" s="12"/>
      <c r="H461" s="12"/>
      <c r="I461" s="10"/>
      <c r="J461" s="11"/>
      <c r="K461" s="11"/>
      <c r="L461" s="11"/>
      <c r="M461" s="11"/>
      <c r="N461" s="11"/>
      <c r="O461" s="10"/>
      <c r="P461" s="10"/>
      <c r="Q461" s="10"/>
      <c r="R461" s="10"/>
      <c r="S461" s="10"/>
      <c r="T461" s="10"/>
    </row>
    <row r="462" spans="1:20" s="2" customFormat="1" x14ac:dyDescent="0.25">
      <c r="A462" s="14"/>
      <c r="B462" s="13"/>
      <c r="C462" s="10"/>
      <c r="D462" s="10"/>
      <c r="E462" s="10"/>
      <c r="F462" s="12"/>
      <c r="G462" s="12"/>
      <c r="H462" s="12"/>
      <c r="I462" s="10"/>
      <c r="J462" s="11"/>
      <c r="K462" s="11"/>
      <c r="L462" s="11"/>
      <c r="M462" s="11"/>
      <c r="N462" s="11"/>
      <c r="O462" s="10"/>
      <c r="P462" s="10"/>
      <c r="Q462" s="10"/>
      <c r="R462" s="10"/>
      <c r="S462" s="10"/>
      <c r="T462" s="10"/>
    </row>
    <row r="463" spans="1:20" s="2" customFormat="1" x14ac:dyDescent="0.25">
      <c r="A463" s="14"/>
      <c r="B463" s="13"/>
      <c r="C463" s="10"/>
      <c r="D463" s="10"/>
      <c r="E463" s="10"/>
      <c r="F463" s="12"/>
      <c r="G463" s="12"/>
      <c r="H463" s="12"/>
      <c r="I463" s="10"/>
      <c r="J463" s="11"/>
      <c r="K463" s="11"/>
      <c r="L463" s="11"/>
      <c r="M463" s="11"/>
      <c r="N463" s="11"/>
      <c r="O463" s="10"/>
      <c r="P463" s="10"/>
      <c r="Q463" s="10"/>
      <c r="R463" s="10"/>
      <c r="S463" s="10"/>
      <c r="T463" s="10"/>
    </row>
    <row r="464" spans="1:20" s="2" customFormat="1" x14ac:dyDescent="0.25">
      <c r="A464" s="14"/>
      <c r="B464" s="13"/>
      <c r="C464" s="10"/>
      <c r="D464" s="10"/>
      <c r="E464" s="10"/>
      <c r="F464" s="12"/>
      <c r="G464" s="12"/>
      <c r="H464" s="12"/>
      <c r="I464" s="10"/>
      <c r="J464" s="11"/>
      <c r="K464" s="11"/>
      <c r="L464" s="11"/>
      <c r="M464" s="11"/>
      <c r="N464" s="11"/>
      <c r="O464" s="10"/>
      <c r="P464" s="10"/>
      <c r="Q464" s="10"/>
      <c r="R464" s="10"/>
      <c r="S464" s="10"/>
      <c r="T464" s="10"/>
    </row>
    <row r="465" spans="1:20" s="2" customFormat="1" x14ac:dyDescent="0.25">
      <c r="A465" s="14"/>
      <c r="B465" s="13"/>
      <c r="C465" s="10"/>
      <c r="D465" s="10"/>
      <c r="E465" s="10"/>
      <c r="F465" s="12"/>
      <c r="G465" s="12"/>
      <c r="H465" s="12"/>
      <c r="I465" s="10"/>
      <c r="J465" s="11"/>
      <c r="K465" s="11"/>
      <c r="L465" s="11"/>
      <c r="M465" s="11"/>
      <c r="N465" s="11"/>
      <c r="O465" s="10"/>
      <c r="P465" s="10"/>
      <c r="Q465" s="10"/>
      <c r="R465" s="10"/>
      <c r="S465" s="10"/>
      <c r="T465" s="10"/>
    </row>
    <row r="466" spans="1:20" s="2" customFormat="1" x14ac:dyDescent="0.25">
      <c r="A466" s="14"/>
      <c r="B466" s="13"/>
      <c r="C466" s="10"/>
      <c r="D466" s="10"/>
      <c r="E466" s="10"/>
      <c r="F466" s="12"/>
      <c r="G466" s="12"/>
      <c r="H466" s="12"/>
      <c r="I466" s="10"/>
      <c r="J466" s="11"/>
      <c r="K466" s="11"/>
      <c r="L466" s="11"/>
      <c r="M466" s="11"/>
      <c r="N466" s="11"/>
      <c r="O466" s="10"/>
      <c r="P466" s="10"/>
      <c r="Q466" s="10"/>
      <c r="R466" s="10"/>
      <c r="S466" s="10"/>
      <c r="T466" s="10"/>
    </row>
    <row r="467" spans="1:20" s="2" customFormat="1" x14ac:dyDescent="0.25">
      <c r="A467" s="14"/>
      <c r="B467" s="13"/>
      <c r="C467" s="10"/>
      <c r="D467" s="10"/>
      <c r="E467" s="10"/>
      <c r="F467" s="12"/>
      <c r="G467" s="12"/>
      <c r="H467" s="12"/>
      <c r="I467" s="10"/>
      <c r="J467" s="11"/>
      <c r="K467" s="11"/>
      <c r="L467" s="11"/>
      <c r="M467" s="11"/>
      <c r="N467" s="11"/>
      <c r="O467" s="10"/>
      <c r="P467" s="10"/>
      <c r="Q467" s="10"/>
      <c r="R467" s="10"/>
      <c r="S467" s="10"/>
      <c r="T467" s="10"/>
    </row>
    <row r="468" spans="1:20" s="2" customFormat="1" x14ac:dyDescent="0.25">
      <c r="A468" s="14"/>
      <c r="B468" s="13"/>
      <c r="C468" s="10"/>
      <c r="D468" s="10"/>
      <c r="E468" s="10"/>
      <c r="F468" s="12"/>
      <c r="G468" s="12"/>
      <c r="H468" s="12"/>
      <c r="I468" s="10"/>
      <c r="J468" s="11"/>
      <c r="K468" s="11"/>
      <c r="L468" s="11"/>
      <c r="M468" s="11"/>
      <c r="N468" s="11"/>
      <c r="O468" s="10"/>
      <c r="P468" s="10"/>
      <c r="Q468" s="10"/>
      <c r="R468" s="10"/>
      <c r="S468" s="10"/>
      <c r="T468" s="10"/>
    </row>
    <row r="469" spans="1:20" s="2" customFormat="1" x14ac:dyDescent="0.25">
      <c r="A469" s="14"/>
      <c r="B469" s="13"/>
      <c r="C469" s="10"/>
      <c r="D469" s="10"/>
      <c r="E469" s="10"/>
      <c r="F469" s="12"/>
      <c r="G469" s="12"/>
      <c r="H469" s="12"/>
      <c r="I469" s="10"/>
      <c r="J469" s="11"/>
      <c r="K469" s="11"/>
      <c r="L469" s="11"/>
      <c r="M469" s="11"/>
      <c r="N469" s="11"/>
      <c r="O469" s="10"/>
      <c r="P469" s="10"/>
      <c r="Q469" s="10"/>
      <c r="R469" s="10"/>
      <c r="S469" s="10"/>
      <c r="T469" s="10"/>
    </row>
    <row r="470" spans="1:20" s="2" customFormat="1" x14ac:dyDescent="0.25">
      <c r="A470" s="14"/>
      <c r="B470" s="13"/>
      <c r="C470" s="10"/>
      <c r="D470" s="10"/>
      <c r="E470" s="10"/>
      <c r="F470" s="12"/>
      <c r="G470" s="12"/>
      <c r="H470" s="12"/>
      <c r="I470" s="10"/>
      <c r="J470" s="11"/>
      <c r="K470" s="11"/>
      <c r="L470" s="11"/>
      <c r="M470" s="11"/>
      <c r="N470" s="11"/>
      <c r="O470" s="10"/>
      <c r="P470" s="10"/>
      <c r="Q470" s="10"/>
      <c r="R470" s="10"/>
      <c r="S470" s="10"/>
      <c r="T470" s="10"/>
    </row>
    <row r="471" spans="1:20" s="2" customFormat="1" x14ac:dyDescent="0.25">
      <c r="A471" s="14"/>
      <c r="B471" s="13"/>
      <c r="C471" s="10"/>
      <c r="D471" s="10"/>
      <c r="E471" s="10"/>
      <c r="F471" s="12"/>
      <c r="G471" s="12"/>
      <c r="H471" s="12"/>
      <c r="I471" s="10"/>
      <c r="J471" s="11"/>
      <c r="K471" s="11"/>
      <c r="L471" s="11"/>
      <c r="M471" s="11"/>
      <c r="N471" s="11"/>
      <c r="O471" s="10"/>
      <c r="P471" s="10"/>
      <c r="Q471" s="10"/>
      <c r="R471" s="10"/>
      <c r="S471" s="10"/>
      <c r="T471" s="10"/>
    </row>
    <row r="472" spans="1:20" s="2" customFormat="1" x14ac:dyDescent="0.25">
      <c r="A472" s="14"/>
      <c r="B472" s="13"/>
      <c r="C472" s="10"/>
      <c r="D472" s="10"/>
      <c r="E472" s="10"/>
      <c r="F472" s="12"/>
      <c r="G472" s="12"/>
      <c r="H472" s="12"/>
      <c r="I472" s="10"/>
      <c r="J472" s="11"/>
      <c r="K472" s="11"/>
      <c r="L472" s="11"/>
      <c r="M472" s="11"/>
      <c r="N472" s="11"/>
      <c r="O472" s="10"/>
      <c r="P472" s="10"/>
      <c r="Q472" s="10"/>
      <c r="R472" s="10"/>
      <c r="S472" s="10"/>
      <c r="T472" s="10"/>
    </row>
    <row r="473" spans="1:20" s="2" customFormat="1" x14ac:dyDescent="0.25">
      <c r="A473" s="14"/>
      <c r="B473" s="13"/>
      <c r="C473" s="10"/>
      <c r="D473" s="10"/>
      <c r="E473" s="10"/>
      <c r="F473" s="12"/>
      <c r="G473" s="12"/>
      <c r="H473" s="12"/>
      <c r="I473" s="10"/>
      <c r="J473" s="11"/>
      <c r="K473" s="11"/>
      <c r="L473" s="11"/>
      <c r="M473" s="11"/>
      <c r="N473" s="11"/>
      <c r="O473" s="10"/>
      <c r="P473" s="10"/>
      <c r="Q473" s="10"/>
      <c r="R473" s="10"/>
      <c r="S473" s="10"/>
      <c r="T473" s="10"/>
    </row>
    <row r="474" spans="1:20" s="2" customFormat="1" x14ac:dyDescent="0.25">
      <c r="A474" s="14"/>
      <c r="B474" s="13"/>
      <c r="C474" s="10"/>
      <c r="D474" s="10"/>
      <c r="E474" s="10"/>
      <c r="F474" s="12"/>
      <c r="G474" s="12"/>
      <c r="H474" s="12"/>
      <c r="I474" s="10"/>
      <c r="J474" s="11"/>
      <c r="K474" s="11"/>
      <c r="L474" s="11"/>
      <c r="M474" s="11"/>
      <c r="N474" s="11"/>
      <c r="O474" s="10"/>
      <c r="P474" s="10"/>
      <c r="Q474" s="10"/>
      <c r="R474" s="10"/>
      <c r="S474" s="10"/>
      <c r="T474" s="10"/>
    </row>
    <row r="475" spans="1:20" s="2" customFormat="1" x14ac:dyDescent="0.25">
      <c r="A475" s="14"/>
      <c r="B475" s="13"/>
      <c r="C475" s="10"/>
      <c r="D475" s="10"/>
      <c r="E475" s="10"/>
      <c r="F475" s="12"/>
      <c r="G475" s="12"/>
      <c r="H475" s="12"/>
      <c r="I475" s="10"/>
      <c r="J475" s="11"/>
      <c r="K475" s="11"/>
      <c r="L475" s="11"/>
      <c r="M475" s="11"/>
      <c r="N475" s="11"/>
      <c r="O475" s="10"/>
      <c r="P475" s="10"/>
      <c r="Q475" s="10"/>
      <c r="R475" s="10"/>
      <c r="S475" s="10"/>
      <c r="T475" s="10"/>
    </row>
    <row r="476" spans="1:20" s="2" customFormat="1" x14ac:dyDescent="0.25">
      <c r="A476" s="14"/>
      <c r="B476" s="13"/>
      <c r="C476" s="10"/>
      <c r="D476" s="10"/>
      <c r="E476" s="10"/>
      <c r="F476" s="12"/>
      <c r="G476" s="12"/>
      <c r="H476" s="12"/>
      <c r="I476" s="10"/>
      <c r="J476" s="11"/>
      <c r="K476" s="11"/>
      <c r="L476" s="11"/>
      <c r="M476" s="11"/>
      <c r="N476" s="11"/>
      <c r="O476" s="10"/>
      <c r="P476" s="10"/>
      <c r="Q476" s="10"/>
      <c r="R476" s="10"/>
      <c r="S476" s="10"/>
      <c r="T476" s="10"/>
    </row>
    <row r="477" spans="1:20" s="2" customFormat="1" x14ac:dyDescent="0.25">
      <c r="A477" s="14"/>
      <c r="B477" s="13"/>
      <c r="C477" s="10"/>
      <c r="D477" s="10"/>
      <c r="E477" s="10"/>
      <c r="F477" s="12"/>
      <c r="G477" s="12"/>
      <c r="H477" s="12"/>
      <c r="I477" s="10"/>
      <c r="J477" s="11"/>
      <c r="K477" s="11"/>
      <c r="L477" s="11"/>
      <c r="M477" s="11"/>
      <c r="N477" s="11"/>
      <c r="O477" s="10"/>
      <c r="P477" s="10"/>
      <c r="Q477" s="10"/>
      <c r="R477" s="10"/>
      <c r="S477" s="10"/>
      <c r="T477" s="10"/>
    </row>
    <row r="478" spans="1:20" s="2" customFormat="1" x14ac:dyDescent="0.25">
      <c r="A478" s="14"/>
      <c r="B478" s="13"/>
      <c r="C478" s="10"/>
      <c r="D478" s="10"/>
      <c r="E478" s="10"/>
      <c r="F478" s="12"/>
      <c r="G478" s="12"/>
      <c r="H478" s="12"/>
      <c r="I478" s="10"/>
      <c r="J478" s="11"/>
      <c r="K478" s="11"/>
      <c r="L478" s="11"/>
      <c r="M478" s="11"/>
      <c r="N478" s="11"/>
      <c r="O478" s="10"/>
      <c r="P478" s="10"/>
      <c r="Q478" s="10"/>
      <c r="R478" s="10"/>
      <c r="S478" s="10"/>
      <c r="T478" s="10"/>
    </row>
    <row r="479" spans="1:20" s="2" customFormat="1" x14ac:dyDescent="0.25">
      <c r="A479" s="14"/>
      <c r="B479" s="13"/>
      <c r="C479" s="10"/>
      <c r="D479" s="10"/>
      <c r="E479" s="10"/>
      <c r="F479" s="12"/>
      <c r="G479" s="12"/>
      <c r="H479" s="12"/>
      <c r="I479" s="10"/>
      <c r="J479" s="11"/>
      <c r="K479" s="11"/>
      <c r="L479" s="11"/>
      <c r="M479" s="11"/>
      <c r="N479" s="11"/>
      <c r="O479" s="10"/>
      <c r="P479" s="10"/>
      <c r="Q479" s="10"/>
      <c r="R479" s="10"/>
      <c r="S479" s="10"/>
      <c r="T479" s="10"/>
    </row>
    <row r="480" spans="1:20" s="2" customFormat="1" x14ac:dyDescent="0.25">
      <c r="A480" s="14"/>
      <c r="B480" s="13"/>
      <c r="C480" s="10"/>
      <c r="D480" s="10"/>
      <c r="E480" s="10"/>
      <c r="F480" s="12"/>
      <c r="G480" s="12"/>
      <c r="H480" s="12"/>
      <c r="I480" s="10"/>
      <c r="J480" s="11"/>
      <c r="K480" s="11"/>
      <c r="L480" s="11"/>
      <c r="M480" s="11"/>
      <c r="N480" s="11"/>
      <c r="O480" s="10"/>
      <c r="P480" s="10"/>
      <c r="Q480" s="10"/>
      <c r="R480" s="10"/>
      <c r="S480" s="10"/>
      <c r="T480" s="10"/>
    </row>
    <row r="481" spans="1:20" s="2" customFormat="1" x14ac:dyDescent="0.25">
      <c r="A481" s="14"/>
      <c r="B481" s="13"/>
      <c r="C481" s="10"/>
      <c r="D481" s="10"/>
      <c r="E481" s="10"/>
      <c r="F481" s="12"/>
      <c r="G481" s="12"/>
      <c r="H481" s="12"/>
      <c r="I481" s="10"/>
      <c r="J481" s="11"/>
      <c r="K481" s="11"/>
      <c r="L481" s="11"/>
      <c r="M481" s="11"/>
      <c r="N481" s="11"/>
      <c r="O481" s="10"/>
      <c r="P481" s="10"/>
      <c r="Q481" s="10"/>
      <c r="R481" s="10"/>
      <c r="S481" s="10"/>
      <c r="T481" s="10"/>
    </row>
    <row r="482" spans="1:20" s="2" customFormat="1" x14ac:dyDescent="0.25">
      <c r="A482" s="14"/>
      <c r="B482" s="13"/>
      <c r="C482" s="10"/>
      <c r="D482" s="10"/>
      <c r="E482" s="10"/>
      <c r="F482" s="12"/>
      <c r="G482" s="12"/>
      <c r="H482" s="12"/>
      <c r="I482" s="10"/>
      <c r="J482" s="11"/>
      <c r="K482" s="11"/>
      <c r="L482" s="11"/>
      <c r="M482" s="11"/>
      <c r="N482" s="11"/>
      <c r="O482" s="10"/>
      <c r="P482" s="10"/>
      <c r="Q482" s="10"/>
      <c r="R482" s="10"/>
      <c r="S482" s="10"/>
      <c r="T482" s="10"/>
    </row>
    <row r="483" spans="1:20" s="2" customFormat="1" x14ac:dyDescent="0.25">
      <c r="A483" s="14"/>
      <c r="B483" s="13"/>
      <c r="C483" s="10"/>
      <c r="D483" s="10"/>
      <c r="E483" s="10"/>
      <c r="F483" s="12"/>
      <c r="G483" s="12"/>
      <c r="H483" s="12"/>
      <c r="I483" s="10"/>
      <c r="J483" s="11"/>
      <c r="K483" s="11"/>
      <c r="L483" s="11"/>
      <c r="M483" s="11"/>
      <c r="N483" s="11"/>
      <c r="O483" s="10"/>
      <c r="P483" s="10"/>
      <c r="Q483" s="10"/>
      <c r="R483" s="10"/>
      <c r="S483" s="10"/>
      <c r="T483" s="10"/>
    </row>
    <row r="484" spans="1:20" s="2" customFormat="1" x14ac:dyDescent="0.25">
      <c r="A484" s="14"/>
      <c r="B484" s="13"/>
      <c r="C484" s="10"/>
      <c r="D484" s="10"/>
      <c r="E484" s="10"/>
      <c r="F484" s="12"/>
      <c r="G484" s="12"/>
      <c r="H484" s="12"/>
      <c r="I484" s="10"/>
      <c r="J484" s="11"/>
      <c r="K484" s="11"/>
      <c r="L484" s="11"/>
      <c r="M484" s="11"/>
      <c r="N484" s="11"/>
      <c r="O484" s="10"/>
      <c r="P484" s="10"/>
      <c r="Q484" s="10"/>
      <c r="R484" s="10"/>
      <c r="S484" s="10"/>
      <c r="T484" s="10"/>
    </row>
    <row r="485" spans="1:20" s="2" customFormat="1" x14ac:dyDescent="0.25">
      <c r="A485" s="14"/>
      <c r="B485" s="13"/>
      <c r="C485" s="10"/>
      <c r="D485" s="10"/>
      <c r="E485" s="10"/>
      <c r="F485" s="12"/>
      <c r="G485" s="12"/>
      <c r="H485" s="12"/>
      <c r="I485" s="10"/>
      <c r="J485" s="11"/>
      <c r="K485" s="11"/>
      <c r="L485" s="11"/>
      <c r="M485" s="11"/>
      <c r="N485" s="11"/>
      <c r="O485" s="10"/>
      <c r="P485" s="10"/>
      <c r="Q485" s="10"/>
      <c r="R485" s="10"/>
      <c r="S485" s="10"/>
      <c r="T485" s="10"/>
    </row>
    <row r="486" spans="1:20" s="2" customFormat="1" x14ac:dyDescent="0.25">
      <c r="A486" s="14"/>
      <c r="B486" s="13"/>
      <c r="C486" s="10"/>
      <c r="D486" s="10"/>
      <c r="E486" s="10"/>
      <c r="F486" s="12"/>
      <c r="G486" s="12"/>
      <c r="H486" s="12"/>
      <c r="I486" s="10"/>
      <c r="J486" s="11"/>
      <c r="K486" s="11"/>
      <c r="L486" s="11"/>
      <c r="M486" s="11"/>
      <c r="N486" s="11"/>
      <c r="O486" s="10"/>
      <c r="P486" s="10"/>
      <c r="Q486" s="10"/>
      <c r="R486" s="10"/>
      <c r="S486" s="10"/>
      <c r="T486" s="10"/>
    </row>
    <row r="487" spans="1:20" s="2" customFormat="1" x14ac:dyDescent="0.25">
      <c r="A487" s="14"/>
      <c r="B487" s="13"/>
      <c r="C487" s="10"/>
      <c r="D487" s="10"/>
      <c r="E487" s="10"/>
      <c r="F487" s="12"/>
      <c r="G487" s="12"/>
      <c r="H487" s="12"/>
      <c r="I487" s="10"/>
      <c r="J487" s="11"/>
      <c r="K487" s="11"/>
      <c r="L487" s="11"/>
      <c r="M487" s="11"/>
      <c r="N487" s="11"/>
      <c r="O487" s="10"/>
      <c r="P487" s="10"/>
      <c r="Q487" s="10"/>
      <c r="R487" s="10"/>
      <c r="S487" s="10"/>
      <c r="T487" s="10"/>
    </row>
    <row r="488" spans="1:20" s="2" customFormat="1" x14ac:dyDescent="0.25">
      <c r="A488" s="14"/>
      <c r="B488" s="13"/>
      <c r="C488" s="10"/>
      <c r="D488" s="10"/>
      <c r="E488" s="10"/>
      <c r="F488" s="12"/>
      <c r="G488" s="12"/>
      <c r="H488" s="12"/>
      <c r="I488" s="10"/>
      <c r="J488" s="11"/>
      <c r="K488" s="11"/>
      <c r="L488" s="11"/>
      <c r="M488" s="11"/>
      <c r="N488" s="11"/>
      <c r="O488" s="10"/>
      <c r="P488" s="10"/>
      <c r="Q488" s="10"/>
      <c r="R488" s="10"/>
      <c r="S488" s="10"/>
      <c r="T488" s="10"/>
    </row>
    <row r="489" spans="1:20" s="2" customFormat="1" x14ac:dyDescent="0.25">
      <c r="A489" s="14"/>
      <c r="B489" s="13"/>
      <c r="C489" s="10"/>
      <c r="D489" s="10"/>
      <c r="E489" s="10"/>
      <c r="F489" s="12"/>
      <c r="G489" s="12"/>
      <c r="H489" s="12"/>
      <c r="I489" s="10"/>
      <c r="J489" s="11"/>
      <c r="K489" s="11"/>
      <c r="L489" s="11"/>
      <c r="M489" s="11"/>
      <c r="N489" s="11"/>
      <c r="O489" s="10"/>
      <c r="P489" s="10"/>
      <c r="Q489" s="10"/>
      <c r="R489" s="10"/>
      <c r="S489" s="10"/>
      <c r="T489" s="10"/>
    </row>
    <row r="490" spans="1:20" s="2" customFormat="1" x14ac:dyDescent="0.25">
      <c r="A490" s="14"/>
      <c r="B490" s="13"/>
      <c r="C490" s="10"/>
      <c r="D490" s="10"/>
      <c r="E490" s="10"/>
      <c r="F490" s="12"/>
      <c r="G490" s="12"/>
      <c r="H490" s="12"/>
      <c r="I490" s="10"/>
      <c r="J490" s="11"/>
      <c r="K490" s="11"/>
      <c r="L490" s="11"/>
      <c r="M490" s="11"/>
      <c r="N490" s="11"/>
      <c r="O490" s="10"/>
      <c r="P490" s="10"/>
      <c r="Q490" s="10"/>
      <c r="R490" s="10"/>
      <c r="S490" s="10"/>
      <c r="T490" s="10"/>
    </row>
    <row r="491" spans="1:20" s="2" customFormat="1" x14ac:dyDescent="0.25">
      <c r="A491" s="14"/>
      <c r="B491" s="13"/>
      <c r="C491" s="10"/>
      <c r="D491" s="10"/>
      <c r="E491" s="10"/>
      <c r="F491" s="12"/>
      <c r="G491" s="12"/>
      <c r="H491" s="12"/>
      <c r="I491" s="10"/>
      <c r="J491" s="11"/>
      <c r="K491" s="11"/>
      <c r="L491" s="11"/>
      <c r="M491" s="11"/>
      <c r="N491" s="11"/>
      <c r="O491" s="10"/>
      <c r="P491" s="10"/>
      <c r="Q491" s="10"/>
      <c r="R491" s="10"/>
      <c r="S491" s="10"/>
      <c r="T491" s="10"/>
    </row>
    <row r="492" spans="1:20" s="2" customFormat="1" x14ac:dyDescent="0.25">
      <c r="A492" s="14"/>
      <c r="B492" s="13"/>
      <c r="C492" s="10"/>
      <c r="D492" s="10"/>
      <c r="E492" s="10"/>
      <c r="F492" s="12"/>
      <c r="G492" s="12"/>
      <c r="H492" s="12"/>
      <c r="I492" s="10"/>
      <c r="J492" s="11"/>
      <c r="K492" s="11"/>
      <c r="L492" s="11"/>
      <c r="M492" s="11"/>
      <c r="N492" s="11"/>
      <c r="O492" s="10"/>
      <c r="P492" s="10"/>
      <c r="Q492" s="10"/>
      <c r="R492" s="10"/>
      <c r="S492" s="10"/>
      <c r="T492" s="10"/>
    </row>
    <row r="493" spans="1:20" s="2" customFormat="1" x14ac:dyDescent="0.25">
      <c r="A493" s="14"/>
      <c r="B493" s="13"/>
      <c r="C493" s="10"/>
      <c r="D493" s="10"/>
      <c r="E493" s="10"/>
      <c r="F493" s="12"/>
      <c r="G493" s="12"/>
      <c r="H493" s="12"/>
      <c r="I493" s="10"/>
      <c r="J493" s="11"/>
      <c r="K493" s="11"/>
      <c r="L493" s="11"/>
      <c r="M493" s="11"/>
      <c r="N493" s="11"/>
      <c r="O493" s="10"/>
      <c r="P493" s="10"/>
      <c r="Q493" s="10"/>
      <c r="R493" s="10"/>
      <c r="S493" s="10"/>
      <c r="T493" s="10"/>
    </row>
    <row r="494" spans="1:20" s="2" customFormat="1" x14ac:dyDescent="0.25">
      <c r="A494" s="14"/>
      <c r="B494" s="13"/>
      <c r="C494" s="10"/>
      <c r="D494" s="10"/>
      <c r="E494" s="10"/>
      <c r="F494" s="12"/>
      <c r="G494" s="12"/>
      <c r="H494" s="12"/>
      <c r="I494" s="10"/>
      <c r="J494" s="11"/>
      <c r="K494" s="11"/>
      <c r="L494" s="11"/>
      <c r="M494" s="11"/>
      <c r="N494" s="11"/>
      <c r="O494" s="10"/>
      <c r="P494" s="10"/>
      <c r="Q494" s="10"/>
      <c r="R494" s="10"/>
      <c r="S494" s="10"/>
      <c r="T494" s="10"/>
    </row>
    <row r="495" spans="1:20" s="2" customFormat="1" x14ac:dyDescent="0.25">
      <c r="A495" s="14"/>
      <c r="B495" s="13"/>
      <c r="C495" s="10"/>
      <c r="D495" s="10"/>
      <c r="E495" s="10"/>
      <c r="F495" s="12"/>
      <c r="G495" s="12"/>
      <c r="H495" s="12"/>
      <c r="I495" s="10"/>
      <c r="J495" s="11"/>
      <c r="K495" s="11"/>
      <c r="L495" s="11"/>
      <c r="M495" s="11"/>
      <c r="N495" s="11"/>
      <c r="O495" s="10"/>
      <c r="P495" s="10"/>
      <c r="Q495" s="10"/>
      <c r="R495" s="10"/>
      <c r="S495" s="10"/>
      <c r="T495" s="10"/>
    </row>
    <row r="496" spans="1:20" s="2" customFormat="1" x14ac:dyDescent="0.25">
      <c r="A496" s="14"/>
      <c r="B496" s="13"/>
      <c r="C496" s="10"/>
      <c r="D496" s="10"/>
      <c r="E496" s="10"/>
      <c r="F496" s="12"/>
      <c r="G496" s="12"/>
      <c r="H496" s="12"/>
      <c r="I496" s="10"/>
      <c r="J496" s="11"/>
      <c r="K496" s="11"/>
      <c r="L496" s="11"/>
      <c r="M496" s="11"/>
      <c r="N496" s="11"/>
      <c r="O496" s="10"/>
      <c r="P496" s="10"/>
      <c r="Q496" s="10"/>
      <c r="R496" s="10"/>
      <c r="S496" s="10"/>
      <c r="T496" s="10"/>
    </row>
    <row r="497" spans="1:20" s="2" customFormat="1" x14ac:dyDescent="0.25">
      <c r="A497" s="14"/>
      <c r="B497" s="13"/>
      <c r="C497" s="10"/>
      <c r="D497" s="10"/>
      <c r="E497" s="10"/>
      <c r="F497" s="12"/>
      <c r="G497" s="12"/>
      <c r="H497" s="12"/>
      <c r="I497" s="10"/>
      <c r="J497" s="11"/>
      <c r="K497" s="11"/>
      <c r="L497" s="11"/>
      <c r="M497" s="11"/>
      <c r="N497" s="11"/>
      <c r="O497" s="10"/>
      <c r="P497" s="10"/>
      <c r="Q497" s="10"/>
      <c r="R497" s="10"/>
      <c r="S497" s="10"/>
      <c r="T497" s="10"/>
    </row>
    <row r="498" spans="1:20" s="2" customFormat="1" x14ac:dyDescent="0.25">
      <c r="A498" s="14"/>
      <c r="B498" s="13"/>
      <c r="C498" s="10"/>
      <c r="D498" s="10"/>
      <c r="E498" s="10"/>
      <c r="F498" s="12"/>
      <c r="G498" s="12"/>
      <c r="H498" s="12"/>
      <c r="I498" s="10"/>
      <c r="J498" s="11"/>
      <c r="K498" s="11"/>
      <c r="L498" s="11"/>
      <c r="M498" s="11"/>
      <c r="N498" s="11"/>
      <c r="O498" s="10"/>
      <c r="P498" s="10"/>
      <c r="Q498" s="10"/>
      <c r="R498" s="10"/>
      <c r="S498" s="10"/>
      <c r="T498" s="10"/>
    </row>
    <row r="499" spans="1:20" s="2" customFormat="1" x14ac:dyDescent="0.25">
      <c r="A499" s="14"/>
      <c r="B499" s="13"/>
      <c r="C499" s="10"/>
      <c r="D499" s="10"/>
      <c r="E499" s="10"/>
      <c r="F499" s="12"/>
      <c r="G499" s="12"/>
      <c r="H499" s="12"/>
      <c r="I499" s="10"/>
      <c r="J499" s="11"/>
      <c r="K499" s="11"/>
      <c r="L499" s="11"/>
      <c r="M499" s="11"/>
      <c r="N499" s="11"/>
      <c r="O499" s="10"/>
      <c r="P499" s="10"/>
      <c r="Q499" s="10"/>
      <c r="R499" s="10"/>
      <c r="S499" s="10"/>
      <c r="T499" s="10"/>
    </row>
    <row r="500" spans="1:20" s="2" customFormat="1" x14ac:dyDescent="0.25">
      <c r="A500" s="14"/>
      <c r="B500" s="13"/>
      <c r="C500" s="10"/>
      <c r="D500" s="10"/>
      <c r="E500" s="10"/>
      <c r="F500" s="12"/>
      <c r="G500" s="12"/>
      <c r="H500" s="12"/>
      <c r="I500" s="10"/>
      <c r="J500" s="11"/>
      <c r="K500" s="11"/>
      <c r="L500" s="11"/>
      <c r="M500" s="11"/>
      <c r="N500" s="11"/>
      <c r="O500" s="10"/>
      <c r="P500" s="10"/>
      <c r="Q500" s="10"/>
      <c r="R500" s="10"/>
      <c r="S500" s="10"/>
      <c r="T500" s="10"/>
    </row>
    <row r="501" spans="1:20" s="2" customFormat="1" x14ac:dyDescent="0.25">
      <c r="A501" s="14"/>
      <c r="B501" s="13"/>
      <c r="C501" s="10"/>
      <c r="D501" s="10"/>
      <c r="E501" s="10"/>
      <c r="F501" s="12"/>
      <c r="G501" s="12"/>
      <c r="H501" s="12"/>
      <c r="I501" s="10"/>
      <c r="J501" s="11"/>
      <c r="K501" s="11"/>
      <c r="L501" s="11"/>
      <c r="M501" s="11"/>
      <c r="N501" s="11"/>
      <c r="O501" s="10"/>
      <c r="P501" s="10"/>
      <c r="Q501" s="10"/>
      <c r="R501" s="10"/>
      <c r="S501" s="10"/>
      <c r="T501" s="10"/>
    </row>
    <row r="502" spans="1:20" s="2" customFormat="1" x14ac:dyDescent="0.25">
      <c r="A502" s="14"/>
      <c r="B502" s="13"/>
      <c r="C502" s="10"/>
      <c r="D502" s="10"/>
      <c r="E502" s="10"/>
      <c r="F502" s="12"/>
      <c r="G502" s="12"/>
      <c r="H502" s="12"/>
      <c r="I502" s="10"/>
      <c r="J502" s="11"/>
      <c r="K502" s="11"/>
      <c r="L502" s="11"/>
      <c r="M502" s="11"/>
      <c r="N502" s="11"/>
      <c r="O502" s="10"/>
      <c r="P502" s="10"/>
      <c r="Q502" s="10"/>
      <c r="R502" s="10"/>
      <c r="S502" s="10"/>
      <c r="T502" s="10"/>
    </row>
    <row r="503" spans="1:20" s="2" customFormat="1" x14ac:dyDescent="0.25">
      <c r="A503" s="14"/>
      <c r="B503" s="13"/>
      <c r="C503" s="10"/>
      <c r="D503" s="10"/>
      <c r="E503" s="10"/>
      <c r="F503" s="12"/>
      <c r="G503" s="12"/>
      <c r="H503" s="12"/>
      <c r="I503" s="10"/>
      <c r="J503" s="11"/>
      <c r="K503" s="11"/>
      <c r="L503" s="11"/>
      <c r="M503" s="11"/>
      <c r="N503" s="11"/>
      <c r="O503" s="10"/>
      <c r="P503" s="10"/>
      <c r="Q503" s="10"/>
      <c r="R503" s="10"/>
      <c r="S503" s="10"/>
      <c r="T503" s="10"/>
    </row>
    <row r="504" spans="1:20" s="2" customFormat="1" x14ac:dyDescent="0.25">
      <c r="A504" s="14"/>
      <c r="B504" s="13"/>
      <c r="C504" s="10"/>
      <c r="D504" s="10"/>
      <c r="E504" s="10"/>
      <c r="F504" s="12"/>
      <c r="G504" s="12"/>
      <c r="H504" s="12"/>
      <c r="I504" s="10"/>
      <c r="J504" s="11"/>
      <c r="K504" s="11"/>
      <c r="L504" s="11"/>
      <c r="M504" s="11"/>
      <c r="N504" s="11"/>
      <c r="O504" s="10"/>
      <c r="P504" s="10"/>
      <c r="Q504" s="10"/>
      <c r="R504" s="10"/>
      <c r="S504" s="10"/>
      <c r="T504" s="10"/>
    </row>
    <row r="505" spans="1:20" s="2" customFormat="1" x14ac:dyDescent="0.25">
      <c r="A505" s="14"/>
      <c r="B505" s="13"/>
      <c r="C505" s="10"/>
      <c r="D505" s="10"/>
      <c r="E505" s="10"/>
      <c r="F505" s="12"/>
      <c r="G505" s="12"/>
      <c r="H505" s="12"/>
      <c r="I505" s="10"/>
      <c r="J505" s="11"/>
      <c r="K505" s="11"/>
      <c r="L505" s="11"/>
      <c r="M505" s="11"/>
      <c r="N505" s="11"/>
      <c r="O505" s="10"/>
      <c r="P505" s="10"/>
      <c r="Q505" s="10"/>
      <c r="R505" s="10"/>
      <c r="S505" s="10"/>
      <c r="T505" s="10"/>
    </row>
    <row r="506" spans="1:20" s="2" customFormat="1" x14ac:dyDescent="0.25">
      <c r="A506" s="14"/>
      <c r="B506" s="13"/>
      <c r="C506" s="10"/>
      <c r="D506" s="10"/>
      <c r="E506" s="10"/>
      <c r="F506" s="12"/>
      <c r="G506" s="12"/>
      <c r="H506" s="12"/>
      <c r="I506" s="10"/>
      <c r="J506" s="11"/>
      <c r="K506" s="11"/>
      <c r="L506" s="11"/>
      <c r="M506" s="11"/>
      <c r="N506" s="11"/>
      <c r="O506" s="10"/>
      <c r="P506" s="10"/>
      <c r="Q506" s="10"/>
      <c r="R506" s="10"/>
      <c r="S506" s="10"/>
      <c r="T506" s="10"/>
    </row>
    <row r="507" spans="1:20" s="2" customFormat="1" x14ac:dyDescent="0.25">
      <c r="A507" s="14"/>
      <c r="B507" s="13"/>
      <c r="C507" s="10"/>
      <c r="D507" s="10"/>
      <c r="E507" s="10"/>
      <c r="F507" s="12"/>
      <c r="G507" s="12"/>
      <c r="H507" s="12"/>
      <c r="I507" s="10"/>
      <c r="J507" s="11"/>
      <c r="K507" s="11"/>
      <c r="L507" s="11"/>
      <c r="M507" s="11"/>
      <c r="N507" s="11"/>
      <c r="O507" s="10"/>
      <c r="P507" s="10"/>
      <c r="Q507" s="10"/>
      <c r="R507" s="10"/>
      <c r="S507" s="10"/>
      <c r="T507" s="10"/>
    </row>
    <row r="508" spans="1:20" s="2" customFormat="1" x14ac:dyDescent="0.25">
      <c r="A508" s="14"/>
      <c r="B508" s="13"/>
      <c r="C508" s="10"/>
      <c r="D508" s="10"/>
      <c r="E508" s="10"/>
      <c r="F508" s="12"/>
      <c r="G508" s="12"/>
      <c r="H508" s="12"/>
      <c r="I508" s="10"/>
      <c r="J508" s="11"/>
      <c r="K508" s="11"/>
      <c r="L508" s="11"/>
      <c r="M508" s="11"/>
      <c r="N508" s="11"/>
      <c r="O508" s="10"/>
      <c r="P508" s="10"/>
      <c r="Q508" s="10"/>
      <c r="R508" s="10"/>
      <c r="S508" s="10"/>
      <c r="T508" s="10"/>
    </row>
    <row r="509" spans="1:20" s="2" customFormat="1" x14ac:dyDescent="0.25">
      <c r="A509" s="14"/>
      <c r="B509" s="13"/>
      <c r="C509" s="10"/>
      <c r="D509" s="10"/>
      <c r="E509" s="10"/>
      <c r="F509" s="12"/>
      <c r="G509" s="12"/>
      <c r="H509" s="12"/>
      <c r="I509" s="10"/>
      <c r="J509" s="11"/>
      <c r="K509" s="11"/>
      <c r="L509" s="11"/>
      <c r="M509" s="11"/>
      <c r="N509" s="11"/>
      <c r="O509" s="10"/>
      <c r="P509" s="10"/>
      <c r="Q509" s="10"/>
      <c r="R509" s="10"/>
      <c r="S509" s="10"/>
      <c r="T509" s="10"/>
    </row>
    <row r="510" spans="1:20" s="2" customFormat="1" x14ac:dyDescent="0.25">
      <c r="A510" s="14"/>
      <c r="B510" s="13"/>
      <c r="C510" s="10"/>
      <c r="D510" s="10"/>
      <c r="E510" s="10"/>
      <c r="F510" s="12"/>
      <c r="G510" s="12"/>
      <c r="H510" s="12"/>
      <c r="I510" s="10"/>
      <c r="J510" s="11"/>
      <c r="K510" s="11"/>
      <c r="L510" s="11"/>
      <c r="M510" s="11"/>
      <c r="N510" s="11"/>
      <c r="O510" s="10"/>
      <c r="P510" s="10"/>
      <c r="Q510" s="10"/>
      <c r="R510" s="10"/>
      <c r="S510" s="10"/>
      <c r="T510" s="10"/>
    </row>
    <row r="511" spans="1:20" s="2" customFormat="1" x14ac:dyDescent="0.25">
      <c r="A511" s="14"/>
      <c r="B511" s="13"/>
      <c r="C511" s="10"/>
      <c r="D511" s="10"/>
      <c r="E511" s="10"/>
      <c r="F511" s="12"/>
      <c r="G511" s="12"/>
      <c r="H511" s="12"/>
      <c r="I511" s="10"/>
      <c r="J511" s="11"/>
      <c r="K511" s="11"/>
      <c r="L511" s="11"/>
      <c r="M511" s="11"/>
      <c r="N511" s="11"/>
      <c r="O511" s="10"/>
      <c r="P511" s="10"/>
      <c r="Q511" s="10"/>
      <c r="R511" s="10"/>
      <c r="S511" s="10"/>
      <c r="T511" s="10"/>
    </row>
    <row r="512" spans="1:20" s="2" customFormat="1" x14ac:dyDescent="0.25">
      <c r="A512" s="14"/>
      <c r="B512" s="13"/>
      <c r="C512" s="10"/>
      <c r="D512" s="10"/>
      <c r="E512" s="10"/>
      <c r="F512" s="12"/>
      <c r="G512" s="12"/>
      <c r="H512" s="12"/>
      <c r="I512" s="10"/>
      <c r="J512" s="11"/>
      <c r="K512" s="11"/>
      <c r="L512" s="11"/>
      <c r="M512" s="11"/>
      <c r="N512" s="11"/>
      <c r="O512" s="10"/>
      <c r="P512" s="10"/>
      <c r="Q512" s="10"/>
      <c r="R512" s="10"/>
      <c r="S512" s="10"/>
      <c r="T512" s="10"/>
    </row>
    <row r="513" spans="1:20" s="2" customFormat="1" x14ac:dyDescent="0.25">
      <c r="A513" s="14"/>
      <c r="B513" s="13"/>
      <c r="C513" s="10"/>
      <c r="D513" s="10"/>
      <c r="E513" s="10"/>
      <c r="F513" s="12"/>
      <c r="G513" s="12"/>
      <c r="H513" s="12"/>
      <c r="I513" s="10"/>
      <c r="J513" s="11"/>
      <c r="K513" s="11"/>
      <c r="L513" s="11"/>
      <c r="M513" s="11"/>
      <c r="N513" s="11"/>
      <c r="O513" s="10"/>
      <c r="P513" s="10"/>
      <c r="Q513" s="10"/>
      <c r="R513" s="10"/>
      <c r="S513" s="10"/>
      <c r="T513" s="10"/>
    </row>
    <row r="514" spans="1:20" s="2" customFormat="1" x14ac:dyDescent="0.25">
      <c r="A514" s="14"/>
      <c r="B514" s="13"/>
      <c r="C514" s="10"/>
      <c r="D514" s="10"/>
      <c r="E514" s="10"/>
      <c r="F514" s="12"/>
      <c r="G514" s="12"/>
      <c r="H514" s="12"/>
      <c r="I514" s="10"/>
      <c r="J514" s="11"/>
      <c r="K514" s="11"/>
      <c r="L514" s="11"/>
      <c r="M514" s="11"/>
      <c r="N514" s="11"/>
      <c r="O514" s="10"/>
      <c r="P514" s="10"/>
      <c r="Q514" s="10"/>
      <c r="R514" s="10"/>
      <c r="S514" s="10"/>
      <c r="T514" s="10"/>
    </row>
    <row r="515" spans="1:20" s="2" customFormat="1" x14ac:dyDescent="0.25">
      <c r="A515" s="14"/>
      <c r="B515" s="13"/>
      <c r="C515" s="10"/>
      <c r="D515" s="10"/>
      <c r="E515" s="10"/>
      <c r="F515" s="12"/>
      <c r="G515" s="12"/>
      <c r="H515" s="12"/>
      <c r="I515" s="10"/>
      <c r="J515" s="11"/>
      <c r="K515" s="11"/>
      <c r="L515" s="11"/>
      <c r="M515" s="11"/>
      <c r="N515" s="11"/>
      <c r="O515" s="10"/>
      <c r="P515" s="10"/>
      <c r="Q515" s="10"/>
      <c r="R515" s="10"/>
      <c r="S515" s="10"/>
      <c r="T515" s="10"/>
    </row>
    <row r="516" spans="1:20" s="2" customFormat="1" x14ac:dyDescent="0.25">
      <c r="A516" s="14"/>
      <c r="B516" s="13"/>
      <c r="C516" s="10"/>
      <c r="D516" s="10"/>
      <c r="E516" s="10"/>
      <c r="F516" s="12"/>
      <c r="G516" s="12"/>
      <c r="H516" s="12"/>
      <c r="I516" s="10"/>
      <c r="J516" s="11"/>
      <c r="K516" s="11"/>
      <c r="L516" s="11"/>
      <c r="M516" s="11"/>
      <c r="N516" s="11"/>
      <c r="O516" s="10"/>
      <c r="P516" s="10"/>
      <c r="Q516" s="10"/>
      <c r="R516" s="10"/>
      <c r="S516" s="10"/>
      <c r="T516" s="10"/>
    </row>
    <row r="517" spans="1:20" s="2" customFormat="1" x14ac:dyDescent="0.25">
      <c r="A517" s="14"/>
      <c r="B517" s="13"/>
      <c r="C517" s="10"/>
      <c r="D517" s="10"/>
      <c r="E517" s="10"/>
      <c r="F517" s="12"/>
      <c r="G517" s="12"/>
      <c r="H517" s="12"/>
      <c r="I517" s="10"/>
      <c r="J517" s="11"/>
      <c r="K517" s="11"/>
      <c r="L517" s="11"/>
      <c r="M517" s="11"/>
      <c r="N517" s="11"/>
      <c r="O517" s="10"/>
      <c r="P517" s="10"/>
      <c r="Q517" s="10"/>
      <c r="R517" s="10"/>
      <c r="S517" s="10"/>
      <c r="T517" s="10"/>
    </row>
    <row r="518" spans="1:20" s="2" customFormat="1" x14ac:dyDescent="0.25">
      <c r="A518" s="14"/>
      <c r="B518" s="13"/>
      <c r="C518" s="10"/>
      <c r="D518" s="10"/>
      <c r="E518" s="10"/>
      <c r="F518" s="12"/>
      <c r="G518" s="12"/>
      <c r="H518" s="12"/>
      <c r="I518" s="10"/>
      <c r="J518" s="11"/>
      <c r="K518" s="11"/>
      <c r="L518" s="11"/>
      <c r="M518" s="11"/>
      <c r="N518" s="11"/>
      <c r="O518" s="10"/>
      <c r="P518" s="10"/>
      <c r="Q518" s="10"/>
      <c r="R518" s="10"/>
      <c r="S518" s="10"/>
      <c r="T518" s="10"/>
    </row>
    <row r="519" spans="1:20" s="2" customFormat="1" x14ac:dyDescent="0.25">
      <c r="A519" s="14"/>
      <c r="B519" s="13"/>
      <c r="C519" s="10"/>
      <c r="D519" s="10"/>
      <c r="E519" s="10"/>
      <c r="F519" s="12"/>
      <c r="G519" s="12"/>
      <c r="H519" s="12"/>
      <c r="I519" s="10"/>
      <c r="J519" s="11"/>
      <c r="K519" s="11"/>
      <c r="L519" s="11"/>
      <c r="M519" s="11"/>
      <c r="N519" s="11"/>
      <c r="O519" s="10"/>
      <c r="P519" s="10"/>
      <c r="Q519" s="10"/>
      <c r="R519" s="10"/>
      <c r="S519" s="10"/>
      <c r="T519" s="10"/>
    </row>
    <row r="520" spans="1:20" s="2" customFormat="1" x14ac:dyDescent="0.25">
      <c r="A520" s="14"/>
      <c r="B520" s="13"/>
      <c r="C520" s="10"/>
      <c r="D520" s="10"/>
      <c r="E520" s="10"/>
      <c r="F520" s="12"/>
      <c r="G520" s="12"/>
      <c r="H520" s="12"/>
      <c r="I520" s="10"/>
      <c r="J520" s="11"/>
      <c r="K520" s="11"/>
      <c r="L520" s="11"/>
      <c r="M520" s="11"/>
      <c r="N520" s="11"/>
      <c r="O520" s="10"/>
      <c r="P520" s="10"/>
      <c r="Q520" s="10"/>
      <c r="R520" s="10"/>
      <c r="S520" s="10"/>
      <c r="T520" s="10"/>
    </row>
    <row r="521" spans="1:20" s="2" customFormat="1" x14ac:dyDescent="0.25">
      <c r="A521" s="14"/>
      <c r="B521" s="13"/>
      <c r="C521" s="10"/>
      <c r="D521" s="10"/>
      <c r="E521" s="10"/>
      <c r="F521" s="12"/>
      <c r="G521" s="12"/>
      <c r="H521" s="12"/>
      <c r="I521" s="10"/>
      <c r="J521" s="11"/>
      <c r="K521" s="11"/>
      <c r="L521" s="11"/>
      <c r="M521" s="11"/>
      <c r="N521" s="11"/>
      <c r="O521" s="10"/>
      <c r="P521" s="10"/>
      <c r="Q521" s="10"/>
      <c r="R521" s="10"/>
      <c r="S521" s="10"/>
      <c r="T521" s="10"/>
    </row>
    <row r="522" spans="1:20" s="2" customFormat="1" x14ac:dyDescent="0.25">
      <c r="A522" s="14"/>
      <c r="B522" s="13"/>
      <c r="C522" s="10"/>
      <c r="D522" s="10"/>
      <c r="E522" s="10"/>
      <c r="F522" s="12"/>
      <c r="G522" s="12"/>
      <c r="H522" s="12"/>
      <c r="I522" s="10"/>
      <c r="J522" s="11"/>
      <c r="K522" s="11"/>
      <c r="L522" s="11"/>
      <c r="M522" s="11"/>
      <c r="N522" s="11"/>
      <c r="O522" s="10"/>
      <c r="P522" s="10"/>
      <c r="Q522" s="10"/>
      <c r="R522" s="10"/>
      <c r="S522" s="10"/>
      <c r="T522" s="10"/>
    </row>
    <row r="523" spans="1:20" s="2" customFormat="1" x14ac:dyDescent="0.25">
      <c r="A523" s="14"/>
      <c r="B523" s="13"/>
      <c r="C523" s="10"/>
      <c r="D523" s="10"/>
      <c r="E523" s="10"/>
      <c r="F523" s="12"/>
      <c r="G523" s="12"/>
      <c r="H523" s="12"/>
      <c r="I523" s="10"/>
      <c r="J523" s="11"/>
      <c r="K523" s="11"/>
      <c r="L523" s="11"/>
      <c r="M523" s="11"/>
      <c r="N523" s="11"/>
      <c r="O523" s="10"/>
      <c r="P523" s="10"/>
      <c r="Q523" s="10"/>
      <c r="R523" s="10"/>
      <c r="S523" s="10"/>
      <c r="T523" s="10"/>
    </row>
    <row r="524" spans="1:20" s="2" customFormat="1" x14ac:dyDescent="0.25">
      <c r="A524" s="14"/>
      <c r="B524" s="13"/>
      <c r="C524" s="10"/>
      <c r="D524" s="10"/>
      <c r="E524" s="10"/>
      <c r="F524" s="12"/>
      <c r="G524" s="12"/>
      <c r="H524" s="12"/>
      <c r="I524" s="10"/>
      <c r="J524" s="11"/>
      <c r="K524" s="11"/>
      <c r="L524" s="11"/>
      <c r="M524" s="11"/>
      <c r="N524" s="11"/>
      <c r="O524" s="10"/>
      <c r="P524" s="10"/>
      <c r="Q524" s="10"/>
      <c r="R524" s="10"/>
      <c r="S524" s="10"/>
      <c r="T524" s="10"/>
    </row>
    <row r="525" spans="1:20" s="2" customFormat="1" x14ac:dyDescent="0.25">
      <c r="A525" s="14"/>
      <c r="B525" s="13"/>
      <c r="C525" s="10"/>
      <c r="D525" s="10"/>
      <c r="E525" s="10"/>
      <c r="F525" s="12"/>
      <c r="G525" s="12"/>
      <c r="H525" s="12"/>
      <c r="I525" s="10"/>
      <c r="J525" s="11"/>
      <c r="K525" s="11"/>
      <c r="L525" s="11"/>
      <c r="M525" s="11"/>
      <c r="N525" s="11"/>
      <c r="O525" s="10"/>
      <c r="P525" s="10"/>
      <c r="Q525" s="10"/>
      <c r="R525" s="10"/>
      <c r="S525" s="10"/>
      <c r="T525" s="10"/>
    </row>
    <row r="526" spans="1:20" s="2" customFormat="1" x14ac:dyDescent="0.25">
      <c r="A526" s="14"/>
      <c r="B526" s="13"/>
      <c r="C526" s="10"/>
      <c r="D526" s="10"/>
      <c r="E526" s="10"/>
      <c r="F526" s="12"/>
      <c r="G526" s="12"/>
      <c r="H526" s="12"/>
      <c r="I526" s="10"/>
      <c r="J526" s="11"/>
      <c r="K526" s="11"/>
      <c r="L526" s="11"/>
      <c r="M526" s="11"/>
      <c r="N526" s="11"/>
      <c r="O526" s="10"/>
      <c r="P526" s="10"/>
      <c r="Q526" s="10"/>
      <c r="R526" s="10"/>
      <c r="S526" s="10"/>
      <c r="T526" s="10"/>
    </row>
    <row r="527" spans="1:20" s="2" customFormat="1" x14ac:dyDescent="0.25">
      <c r="A527" s="14"/>
      <c r="B527" s="13"/>
      <c r="C527" s="10"/>
      <c r="D527" s="10"/>
      <c r="E527" s="10"/>
      <c r="F527" s="12"/>
      <c r="G527" s="12"/>
      <c r="H527" s="12"/>
      <c r="I527" s="10"/>
      <c r="J527" s="11"/>
      <c r="K527" s="11"/>
      <c r="L527" s="11"/>
      <c r="M527" s="11"/>
      <c r="N527" s="11"/>
      <c r="O527" s="10"/>
      <c r="P527" s="10"/>
      <c r="Q527" s="10"/>
      <c r="R527" s="10"/>
      <c r="S527" s="10"/>
      <c r="T527" s="10"/>
    </row>
    <row r="528" spans="1:20" s="2" customFormat="1" x14ac:dyDescent="0.25">
      <c r="A528" s="14"/>
      <c r="B528" s="13"/>
      <c r="C528" s="10"/>
      <c r="D528" s="10"/>
      <c r="E528" s="10"/>
      <c r="F528" s="12"/>
      <c r="G528" s="12"/>
      <c r="H528" s="12"/>
      <c r="I528" s="10"/>
      <c r="J528" s="11"/>
      <c r="K528" s="11"/>
      <c r="L528" s="11"/>
      <c r="M528" s="11"/>
      <c r="N528" s="11"/>
      <c r="O528" s="10"/>
      <c r="P528" s="10"/>
      <c r="Q528" s="10"/>
      <c r="R528" s="10"/>
      <c r="S528" s="10"/>
      <c r="T528" s="10"/>
    </row>
    <row r="529" spans="1:20" s="2" customFormat="1" x14ac:dyDescent="0.25">
      <c r="A529" s="14"/>
      <c r="B529" s="13"/>
      <c r="C529" s="10"/>
      <c r="D529" s="10"/>
      <c r="E529" s="10"/>
      <c r="F529" s="12"/>
      <c r="G529" s="12"/>
      <c r="H529" s="12"/>
      <c r="I529" s="10"/>
      <c r="J529" s="11"/>
      <c r="K529" s="11"/>
      <c r="L529" s="11"/>
      <c r="M529" s="11"/>
      <c r="N529" s="11"/>
      <c r="O529" s="10"/>
      <c r="P529" s="10"/>
      <c r="Q529" s="10"/>
      <c r="R529" s="10"/>
      <c r="S529" s="10"/>
      <c r="T529" s="10"/>
    </row>
    <row r="530" spans="1:20" s="2" customFormat="1" x14ac:dyDescent="0.25">
      <c r="A530" s="14"/>
      <c r="B530" s="13"/>
      <c r="C530" s="10"/>
      <c r="D530" s="10"/>
      <c r="E530" s="10"/>
      <c r="F530" s="12"/>
      <c r="G530" s="12"/>
      <c r="H530" s="12"/>
      <c r="I530" s="10"/>
      <c r="J530" s="11"/>
      <c r="K530" s="11"/>
      <c r="L530" s="11"/>
      <c r="M530" s="11"/>
      <c r="N530" s="11"/>
      <c r="O530" s="10"/>
      <c r="P530" s="10"/>
      <c r="Q530" s="10"/>
      <c r="R530" s="10"/>
      <c r="S530" s="10"/>
      <c r="T530" s="10"/>
    </row>
    <row r="531" spans="1:20" s="2" customFormat="1" x14ac:dyDescent="0.25">
      <c r="A531" s="14"/>
      <c r="B531" s="13"/>
      <c r="C531" s="10"/>
      <c r="D531" s="10"/>
      <c r="E531" s="10"/>
      <c r="F531" s="12"/>
      <c r="G531" s="12"/>
      <c r="H531" s="12"/>
      <c r="I531" s="10"/>
      <c r="J531" s="11"/>
      <c r="K531" s="11"/>
      <c r="L531" s="11"/>
      <c r="M531" s="11"/>
      <c r="N531" s="11"/>
      <c r="O531" s="10"/>
      <c r="P531" s="10"/>
      <c r="Q531" s="10"/>
      <c r="R531" s="10"/>
      <c r="S531" s="10"/>
      <c r="T531" s="10"/>
    </row>
    <row r="532" spans="1:20" s="2" customFormat="1" x14ac:dyDescent="0.25">
      <c r="A532" s="14"/>
      <c r="B532" s="13"/>
      <c r="C532" s="10"/>
      <c r="D532" s="10"/>
      <c r="E532" s="10"/>
      <c r="F532" s="12"/>
      <c r="G532" s="12"/>
      <c r="H532" s="12"/>
      <c r="I532" s="10"/>
      <c r="J532" s="11"/>
      <c r="K532" s="11"/>
      <c r="L532" s="11"/>
      <c r="M532" s="11"/>
      <c r="N532" s="11"/>
      <c r="O532" s="10"/>
      <c r="P532" s="10"/>
      <c r="Q532" s="10"/>
      <c r="R532" s="10"/>
      <c r="S532" s="10"/>
      <c r="T532" s="10"/>
    </row>
    <row r="533" spans="1:20" s="2" customFormat="1" x14ac:dyDescent="0.25">
      <c r="A533" s="14"/>
      <c r="B533" s="13"/>
      <c r="C533" s="10"/>
      <c r="D533" s="10"/>
      <c r="E533" s="10"/>
      <c r="F533" s="12"/>
      <c r="G533" s="12"/>
      <c r="H533" s="12"/>
      <c r="I533" s="10"/>
      <c r="J533" s="11"/>
      <c r="K533" s="11"/>
      <c r="L533" s="11"/>
      <c r="M533" s="11"/>
      <c r="N533" s="11"/>
      <c r="O533" s="10"/>
      <c r="P533" s="10"/>
      <c r="Q533" s="10"/>
      <c r="R533" s="10"/>
      <c r="S533" s="10"/>
      <c r="T533" s="10"/>
    </row>
    <row r="534" spans="1:20" s="2" customFormat="1" x14ac:dyDescent="0.25">
      <c r="A534" s="14"/>
      <c r="B534" s="13"/>
      <c r="C534" s="10"/>
      <c r="D534" s="10"/>
      <c r="E534" s="10"/>
      <c r="F534" s="12"/>
      <c r="G534" s="12"/>
      <c r="H534" s="12"/>
      <c r="I534" s="10"/>
      <c r="J534" s="11"/>
      <c r="K534" s="11"/>
      <c r="L534" s="11"/>
      <c r="M534" s="11"/>
      <c r="N534" s="11"/>
      <c r="O534" s="10"/>
      <c r="P534" s="10"/>
      <c r="Q534" s="10"/>
      <c r="R534" s="10"/>
      <c r="S534" s="10"/>
      <c r="T534" s="10"/>
    </row>
    <row r="535" spans="1:20" s="2" customFormat="1" x14ac:dyDescent="0.25">
      <c r="A535" s="14"/>
      <c r="B535" s="13"/>
      <c r="C535" s="10"/>
      <c r="D535" s="10"/>
      <c r="E535" s="10"/>
      <c r="F535" s="12"/>
      <c r="G535" s="12"/>
      <c r="H535" s="12"/>
      <c r="I535" s="10"/>
      <c r="J535" s="11"/>
      <c r="K535" s="11"/>
      <c r="L535" s="11"/>
      <c r="M535" s="11"/>
      <c r="N535" s="11"/>
      <c r="O535" s="10"/>
      <c r="P535" s="10"/>
      <c r="Q535" s="10"/>
      <c r="R535" s="10"/>
      <c r="S535" s="10"/>
      <c r="T535" s="10"/>
    </row>
    <row r="536" spans="1:20" s="2" customFormat="1" x14ac:dyDescent="0.25">
      <c r="A536" s="14"/>
      <c r="B536" s="13"/>
      <c r="C536" s="10"/>
      <c r="D536" s="10"/>
      <c r="E536" s="10"/>
      <c r="F536" s="12"/>
      <c r="G536" s="12"/>
      <c r="H536" s="12"/>
      <c r="I536" s="10"/>
      <c r="J536" s="11"/>
      <c r="K536" s="11"/>
      <c r="L536" s="11"/>
      <c r="M536" s="11"/>
      <c r="N536" s="11"/>
      <c r="O536" s="10"/>
      <c r="P536" s="10"/>
      <c r="Q536" s="10"/>
      <c r="R536" s="10"/>
      <c r="S536" s="10"/>
      <c r="T536" s="10"/>
    </row>
    <row r="537" spans="1:20" s="2" customFormat="1" x14ac:dyDescent="0.25">
      <c r="A537" s="14"/>
      <c r="B537" s="13"/>
      <c r="C537" s="10"/>
      <c r="D537" s="10"/>
      <c r="E537" s="10"/>
      <c r="F537" s="12"/>
      <c r="G537" s="12"/>
      <c r="H537" s="12"/>
      <c r="I537" s="10"/>
      <c r="J537" s="11"/>
      <c r="K537" s="11"/>
      <c r="L537" s="11"/>
      <c r="M537" s="11"/>
      <c r="N537" s="11"/>
      <c r="O537" s="10"/>
      <c r="P537" s="10"/>
      <c r="Q537" s="10"/>
      <c r="R537" s="10"/>
      <c r="S537" s="10"/>
      <c r="T537" s="10"/>
    </row>
    <row r="538" spans="1:20" s="2" customFormat="1" x14ac:dyDescent="0.25">
      <c r="A538" s="14"/>
      <c r="B538" s="13"/>
      <c r="C538" s="10"/>
      <c r="D538" s="10"/>
      <c r="E538" s="10"/>
      <c r="F538" s="12"/>
      <c r="G538" s="12"/>
      <c r="H538" s="12"/>
      <c r="I538" s="10"/>
      <c r="J538" s="11"/>
      <c r="K538" s="11"/>
      <c r="L538" s="11"/>
      <c r="M538" s="11"/>
      <c r="N538" s="11"/>
      <c r="O538" s="10"/>
      <c r="P538" s="10"/>
      <c r="Q538" s="10"/>
      <c r="R538" s="10"/>
      <c r="S538" s="10"/>
      <c r="T538" s="10"/>
    </row>
    <row r="539" spans="1:20" s="2" customFormat="1" x14ac:dyDescent="0.25">
      <c r="A539" s="14"/>
      <c r="B539" s="13"/>
      <c r="C539" s="10"/>
      <c r="D539" s="10"/>
      <c r="E539" s="10"/>
      <c r="F539" s="12"/>
      <c r="G539" s="12"/>
      <c r="H539" s="12"/>
      <c r="I539" s="10"/>
      <c r="J539" s="11"/>
      <c r="K539" s="11"/>
      <c r="L539" s="11"/>
      <c r="M539" s="11"/>
      <c r="N539" s="11"/>
      <c r="O539" s="10"/>
      <c r="P539" s="10"/>
      <c r="Q539" s="10"/>
      <c r="R539" s="10"/>
      <c r="S539" s="10"/>
      <c r="T539" s="10"/>
    </row>
    <row r="540" spans="1:20" s="2" customFormat="1" x14ac:dyDescent="0.25">
      <c r="A540" s="14"/>
      <c r="B540" s="13"/>
      <c r="C540" s="10"/>
      <c r="D540" s="10"/>
      <c r="E540" s="10"/>
      <c r="F540" s="12"/>
      <c r="G540" s="12"/>
      <c r="H540" s="12"/>
      <c r="I540" s="10"/>
      <c r="J540" s="11"/>
      <c r="K540" s="11"/>
      <c r="L540" s="11"/>
      <c r="M540" s="11"/>
      <c r="N540" s="11"/>
      <c r="O540" s="10"/>
      <c r="P540" s="10"/>
      <c r="Q540" s="10"/>
      <c r="R540" s="10"/>
      <c r="S540" s="10"/>
      <c r="T540" s="10"/>
    </row>
    <row r="541" spans="1:20" s="2" customFormat="1" x14ac:dyDescent="0.25">
      <c r="A541" s="14"/>
      <c r="B541" s="13"/>
      <c r="C541" s="10"/>
      <c r="D541" s="10"/>
      <c r="E541" s="10"/>
      <c r="F541" s="12"/>
      <c r="G541" s="12"/>
      <c r="H541" s="12"/>
      <c r="I541" s="10"/>
      <c r="J541" s="11"/>
      <c r="K541" s="11"/>
      <c r="L541" s="11"/>
      <c r="M541" s="11"/>
      <c r="N541" s="11"/>
      <c r="O541" s="10"/>
      <c r="P541" s="10"/>
      <c r="Q541" s="10"/>
      <c r="R541" s="10"/>
      <c r="S541" s="10"/>
      <c r="T541" s="10"/>
    </row>
    <row r="542" spans="1:20" s="2" customFormat="1" x14ac:dyDescent="0.25">
      <c r="A542" s="14"/>
      <c r="B542" s="13"/>
      <c r="C542" s="10"/>
      <c r="D542" s="10"/>
      <c r="E542" s="10"/>
      <c r="F542" s="12"/>
      <c r="G542" s="12"/>
      <c r="H542" s="12"/>
      <c r="I542" s="10"/>
      <c r="J542" s="11"/>
      <c r="K542" s="11"/>
      <c r="L542" s="11"/>
      <c r="M542" s="11"/>
      <c r="N542" s="11"/>
      <c r="O542" s="10"/>
      <c r="P542" s="10"/>
      <c r="Q542" s="10"/>
      <c r="R542" s="10"/>
      <c r="S542" s="10"/>
      <c r="T542" s="10"/>
    </row>
    <row r="543" spans="1:20" s="2" customFormat="1" x14ac:dyDescent="0.25">
      <c r="A543" s="14"/>
      <c r="B543" s="13"/>
      <c r="C543" s="10"/>
      <c r="D543" s="10"/>
      <c r="E543" s="10"/>
      <c r="F543" s="12"/>
      <c r="G543" s="12"/>
      <c r="H543" s="12"/>
      <c r="I543" s="10"/>
      <c r="J543" s="11"/>
      <c r="K543" s="11"/>
      <c r="L543" s="11"/>
      <c r="M543" s="11"/>
      <c r="N543" s="11"/>
      <c r="O543" s="10"/>
      <c r="P543" s="10"/>
      <c r="Q543" s="10"/>
      <c r="R543" s="10"/>
      <c r="S543" s="10"/>
      <c r="T543" s="10"/>
    </row>
    <row r="544" spans="1:20" s="2" customFormat="1" x14ac:dyDescent="0.25">
      <c r="A544" s="14"/>
      <c r="B544" s="13"/>
      <c r="C544" s="10"/>
      <c r="D544" s="10"/>
      <c r="E544" s="10"/>
      <c r="F544" s="12"/>
      <c r="G544" s="12"/>
      <c r="H544" s="12"/>
      <c r="I544" s="10"/>
      <c r="J544" s="11"/>
      <c r="K544" s="11"/>
      <c r="L544" s="11"/>
      <c r="M544" s="11"/>
      <c r="N544" s="11"/>
      <c r="O544" s="10"/>
      <c r="P544" s="10"/>
      <c r="Q544" s="10"/>
      <c r="R544" s="10"/>
      <c r="S544" s="10"/>
      <c r="T544" s="10"/>
    </row>
    <row r="545" spans="1:20" s="2" customFormat="1" x14ac:dyDescent="0.25">
      <c r="A545" s="14"/>
      <c r="B545" s="13"/>
      <c r="C545" s="10"/>
      <c r="D545" s="10"/>
      <c r="E545" s="10"/>
      <c r="F545" s="12"/>
      <c r="G545" s="12"/>
      <c r="H545" s="12"/>
      <c r="I545" s="10"/>
      <c r="J545" s="11"/>
      <c r="K545" s="11"/>
      <c r="L545" s="11"/>
      <c r="M545" s="11"/>
      <c r="N545" s="11"/>
      <c r="O545" s="10"/>
      <c r="P545" s="10"/>
      <c r="Q545" s="10"/>
      <c r="R545" s="10"/>
      <c r="S545" s="10"/>
      <c r="T545" s="10"/>
    </row>
    <row r="546" spans="1:20" s="2" customFormat="1" x14ac:dyDescent="0.25">
      <c r="A546" s="14"/>
      <c r="B546" s="13"/>
      <c r="C546" s="10"/>
      <c r="D546" s="10"/>
      <c r="E546" s="10"/>
      <c r="F546" s="12"/>
      <c r="G546" s="12"/>
      <c r="H546" s="12"/>
      <c r="I546" s="10"/>
      <c r="J546" s="11"/>
      <c r="K546" s="11"/>
      <c r="L546" s="11"/>
      <c r="M546" s="11"/>
      <c r="N546" s="11"/>
      <c r="O546" s="10"/>
      <c r="P546" s="10"/>
      <c r="Q546" s="10"/>
      <c r="R546" s="10"/>
      <c r="S546" s="10"/>
      <c r="T546" s="10"/>
    </row>
    <row r="547" spans="1:20" s="2" customFormat="1" x14ac:dyDescent="0.25">
      <c r="A547" s="14"/>
      <c r="B547" s="13"/>
      <c r="C547" s="10"/>
      <c r="D547" s="10"/>
      <c r="E547" s="10"/>
      <c r="F547" s="12"/>
      <c r="G547" s="12"/>
      <c r="H547" s="12"/>
      <c r="I547" s="10"/>
      <c r="J547" s="11"/>
      <c r="K547" s="11"/>
      <c r="L547" s="11"/>
      <c r="M547" s="11"/>
      <c r="N547" s="11"/>
      <c r="O547" s="10"/>
      <c r="P547" s="10"/>
      <c r="Q547" s="10"/>
      <c r="R547" s="10"/>
      <c r="S547" s="10"/>
      <c r="T547" s="10"/>
    </row>
    <row r="548" spans="1:20" s="2" customFormat="1" x14ac:dyDescent="0.25">
      <c r="A548" s="14"/>
      <c r="B548" s="13"/>
      <c r="C548" s="10"/>
      <c r="D548" s="10"/>
      <c r="E548" s="10"/>
      <c r="F548" s="12"/>
      <c r="G548" s="12"/>
      <c r="H548" s="12"/>
      <c r="I548" s="10"/>
      <c r="J548" s="11"/>
      <c r="K548" s="11"/>
      <c r="L548" s="11"/>
      <c r="M548" s="11"/>
      <c r="N548" s="11"/>
      <c r="O548" s="10"/>
      <c r="P548" s="10"/>
      <c r="Q548" s="10"/>
      <c r="R548" s="10"/>
      <c r="S548" s="10"/>
      <c r="T548" s="10"/>
    </row>
    <row r="549" spans="1:20" s="2" customFormat="1" x14ac:dyDescent="0.25">
      <c r="A549" s="14"/>
      <c r="B549" s="13"/>
      <c r="C549" s="10"/>
      <c r="D549" s="10"/>
      <c r="E549" s="10"/>
      <c r="F549" s="12"/>
      <c r="G549" s="12"/>
      <c r="H549" s="12"/>
      <c r="I549" s="10"/>
      <c r="J549" s="11"/>
      <c r="K549" s="11"/>
      <c r="L549" s="11"/>
      <c r="M549" s="11"/>
      <c r="N549" s="11"/>
      <c r="O549" s="10"/>
      <c r="P549" s="10"/>
      <c r="Q549" s="10"/>
      <c r="R549" s="10"/>
      <c r="S549" s="10"/>
      <c r="T549" s="10"/>
    </row>
    <row r="550" spans="1:20" s="2" customFormat="1" x14ac:dyDescent="0.25">
      <c r="A550" s="14"/>
      <c r="B550" s="13"/>
      <c r="C550" s="10"/>
      <c r="D550" s="10"/>
      <c r="E550" s="10"/>
      <c r="F550" s="12"/>
      <c r="G550" s="12"/>
      <c r="H550" s="12"/>
      <c r="I550" s="10"/>
      <c r="J550" s="11"/>
      <c r="K550" s="11"/>
      <c r="L550" s="11"/>
      <c r="M550" s="11"/>
      <c r="N550" s="11"/>
      <c r="O550" s="10"/>
      <c r="P550" s="10"/>
      <c r="Q550" s="10"/>
      <c r="R550" s="10"/>
      <c r="S550" s="10"/>
      <c r="T550" s="10"/>
    </row>
    <row r="551" spans="1:20" s="2" customFormat="1" x14ac:dyDescent="0.25">
      <c r="A551" s="14"/>
      <c r="B551" s="13"/>
      <c r="C551" s="10"/>
      <c r="D551" s="10"/>
      <c r="E551" s="10"/>
      <c r="F551" s="12"/>
      <c r="G551" s="12"/>
      <c r="H551" s="12"/>
      <c r="I551" s="10"/>
      <c r="J551" s="11"/>
      <c r="K551" s="11"/>
      <c r="L551" s="11"/>
      <c r="M551" s="11"/>
      <c r="N551" s="11"/>
      <c r="O551" s="10"/>
      <c r="P551" s="10"/>
      <c r="Q551" s="10"/>
      <c r="R551" s="10"/>
      <c r="S551" s="10"/>
      <c r="T551" s="10"/>
    </row>
    <row r="552" spans="1:20" s="2" customFormat="1" x14ac:dyDescent="0.25">
      <c r="A552" s="14"/>
      <c r="B552" s="13"/>
      <c r="C552" s="10"/>
      <c r="D552" s="10"/>
      <c r="E552" s="10"/>
      <c r="F552" s="12"/>
      <c r="G552" s="12"/>
      <c r="H552" s="12"/>
      <c r="I552" s="10"/>
      <c r="J552" s="11"/>
      <c r="K552" s="11"/>
      <c r="L552" s="11"/>
      <c r="M552" s="11"/>
      <c r="N552" s="11"/>
      <c r="O552" s="10"/>
      <c r="P552" s="10"/>
      <c r="Q552" s="10"/>
      <c r="R552" s="10"/>
      <c r="S552" s="10"/>
      <c r="T552" s="10"/>
    </row>
    <row r="553" spans="1:20" s="2" customFormat="1" x14ac:dyDescent="0.25">
      <c r="A553" s="14"/>
      <c r="B553" s="13"/>
      <c r="C553" s="10"/>
      <c r="D553" s="10"/>
      <c r="E553" s="10"/>
      <c r="F553" s="12"/>
      <c r="G553" s="12"/>
      <c r="H553" s="12"/>
      <c r="I553" s="10"/>
      <c r="J553" s="11"/>
      <c r="K553" s="11"/>
      <c r="L553" s="11"/>
      <c r="M553" s="11"/>
      <c r="N553" s="11"/>
      <c r="O553" s="10"/>
      <c r="P553" s="10"/>
      <c r="Q553" s="10"/>
      <c r="R553" s="10"/>
      <c r="S553" s="10"/>
      <c r="T553" s="10"/>
    </row>
    <row r="554" spans="1:20" s="2" customFormat="1" x14ac:dyDescent="0.25">
      <c r="A554" s="14"/>
      <c r="B554" s="13"/>
      <c r="C554" s="10"/>
      <c r="D554" s="10"/>
      <c r="E554" s="10"/>
      <c r="F554" s="12"/>
      <c r="G554" s="12"/>
      <c r="H554" s="12"/>
      <c r="I554" s="10"/>
      <c r="J554" s="11"/>
      <c r="K554" s="11"/>
      <c r="L554" s="11"/>
      <c r="M554" s="11"/>
      <c r="N554" s="11"/>
      <c r="O554" s="10"/>
      <c r="P554" s="10"/>
      <c r="Q554" s="10"/>
      <c r="R554" s="10"/>
      <c r="S554" s="10"/>
      <c r="T554" s="10"/>
    </row>
    <row r="555" spans="1:20" s="2" customFormat="1" x14ac:dyDescent="0.25">
      <c r="A555" s="14"/>
      <c r="B555" s="13"/>
      <c r="C555" s="10"/>
      <c r="D555" s="10"/>
      <c r="E555" s="10"/>
      <c r="F555" s="12"/>
      <c r="G555" s="12"/>
      <c r="H555" s="12"/>
      <c r="I555" s="10"/>
      <c r="J555" s="11"/>
      <c r="K555" s="11"/>
      <c r="L555" s="11"/>
      <c r="M555" s="11"/>
      <c r="N555" s="11"/>
      <c r="O555" s="10"/>
      <c r="P555" s="10"/>
      <c r="Q555" s="10"/>
      <c r="R555" s="10"/>
      <c r="S555" s="10"/>
      <c r="T555" s="10"/>
    </row>
    <row r="556" spans="1:20" s="2" customFormat="1" x14ac:dyDescent="0.25">
      <c r="A556" s="14"/>
      <c r="B556" s="13"/>
      <c r="C556" s="10"/>
      <c r="D556" s="10"/>
      <c r="E556" s="10"/>
      <c r="F556" s="12"/>
      <c r="G556" s="12"/>
      <c r="H556" s="12"/>
      <c r="I556" s="10"/>
      <c r="J556" s="11"/>
      <c r="K556" s="11"/>
      <c r="L556" s="11"/>
      <c r="M556" s="11"/>
      <c r="N556" s="11"/>
      <c r="O556" s="10"/>
      <c r="P556" s="10"/>
      <c r="Q556" s="10"/>
      <c r="R556" s="10"/>
      <c r="S556" s="10"/>
      <c r="T556" s="10"/>
    </row>
    <row r="557" spans="1:20" s="2" customFormat="1" x14ac:dyDescent="0.25">
      <c r="A557" s="14"/>
      <c r="B557" s="13"/>
      <c r="C557" s="10"/>
      <c r="D557" s="10"/>
      <c r="E557" s="10"/>
      <c r="F557" s="12"/>
      <c r="G557" s="12"/>
      <c r="H557" s="12"/>
      <c r="I557" s="10"/>
      <c r="J557" s="11"/>
      <c r="K557" s="11"/>
      <c r="L557" s="11"/>
      <c r="M557" s="11"/>
      <c r="N557" s="11"/>
      <c r="O557" s="10"/>
      <c r="P557" s="10"/>
      <c r="Q557" s="10"/>
      <c r="R557" s="10"/>
      <c r="S557" s="10"/>
      <c r="T557" s="10"/>
    </row>
    <row r="558" spans="1:20" s="2" customFormat="1" x14ac:dyDescent="0.25">
      <c r="A558" s="14"/>
      <c r="B558" s="13"/>
      <c r="C558" s="10"/>
      <c r="D558" s="10"/>
      <c r="E558" s="10"/>
      <c r="F558" s="12"/>
      <c r="G558" s="12"/>
      <c r="H558" s="12"/>
      <c r="I558" s="10"/>
      <c r="J558" s="11"/>
      <c r="K558" s="11"/>
      <c r="L558" s="11"/>
      <c r="M558" s="11"/>
      <c r="N558" s="11"/>
      <c r="O558" s="10"/>
      <c r="P558" s="10"/>
      <c r="Q558" s="10"/>
      <c r="R558" s="10"/>
      <c r="S558" s="10"/>
      <c r="T558" s="10"/>
    </row>
    <row r="559" spans="1:20" s="2" customFormat="1" x14ac:dyDescent="0.25">
      <c r="A559" s="14"/>
      <c r="B559" s="13"/>
      <c r="C559" s="10"/>
      <c r="D559" s="10"/>
      <c r="E559" s="10"/>
      <c r="F559" s="12"/>
      <c r="G559" s="12"/>
      <c r="H559" s="12"/>
      <c r="I559" s="10"/>
      <c r="J559" s="11"/>
      <c r="K559" s="11"/>
      <c r="L559" s="11"/>
      <c r="M559" s="11"/>
      <c r="N559" s="11"/>
      <c r="O559" s="10"/>
      <c r="P559" s="10"/>
      <c r="Q559" s="10"/>
      <c r="R559" s="10"/>
      <c r="S559" s="10"/>
      <c r="T559" s="10"/>
    </row>
    <row r="560" spans="1:20" s="2" customFormat="1" x14ac:dyDescent="0.25">
      <c r="A560" s="14"/>
      <c r="B560" s="13"/>
      <c r="C560" s="10"/>
      <c r="D560" s="10"/>
      <c r="E560" s="10"/>
      <c r="F560" s="12"/>
      <c r="G560" s="12"/>
      <c r="H560" s="12"/>
      <c r="I560" s="10"/>
      <c r="J560" s="11"/>
      <c r="K560" s="11"/>
      <c r="L560" s="11"/>
      <c r="M560" s="11"/>
      <c r="N560" s="11"/>
      <c r="O560" s="10"/>
      <c r="P560" s="10"/>
      <c r="Q560" s="10"/>
      <c r="R560" s="10"/>
      <c r="S560" s="10"/>
      <c r="T560" s="10"/>
    </row>
    <row r="561" spans="1:20" s="2" customFormat="1" x14ac:dyDescent="0.25">
      <c r="A561" s="14"/>
      <c r="B561" s="13"/>
      <c r="C561" s="10"/>
      <c r="D561" s="10"/>
      <c r="E561" s="10"/>
      <c r="F561" s="12"/>
      <c r="G561" s="12"/>
      <c r="H561" s="12"/>
      <c r="I561" s="10"/>
      <c r="J561" s="11"/>
      <c r="K561" s="11"/>
      <c r="L561" s="11"/>
      <c r="M561" s="11"/>
      <c r="N561" s="11"/>
      <c r="O561" s="10"/>
      <c r="P561" s="10"/>
      <c r="Q561" s="10"/>
      <c r="R561" s="10"/>
      <c r="S561" s="10"/>
      <c r="T561" s="10"/>
    </row>
    <row r="562" spans="1:20" s="2" customFormat="1" x14ac:dyDescent="0.25">
      <c r="A562" s="14"/>
      <c r="B562" s="13"/>
      <c r="C562" s="10"/>
      <c r="D562" s="10"/>
      <c r="E562" s="10"/>
      <c r="F562" s="12"/>
      <c r="G562" s="12"/>
      <c r="H562" s="12"/>
      <c r="I562" s="10"/>
      <c r="J562" s="11"/>
      <c r="K562" s="11"/>
      <c r="L562" s="11"/>
      <c r="M562" s="11"/>
      <c r="N562" s="11"/>
      <c r="O562" s="10"/>
      <c r="P562" s="10"/>
      <c r="Q562" s="10"/>
      <c r="R562" s="10"/>
      <c r="S562" s="10"/>
      <c r="T562" s="10"/>
    </row>
    <row r="563" spans="1:20" s="2" customFormat="1" x14ac:dyDescent="0.25">
      <c r="A563" s="14"/>
      <c r="B563" s="13"/>
      <c r="C563" s="10"/>
      <c r="D563" s="10"/>
      <c r="E563" s="10"/>
      <c r="F563" s="12"/>
      <c r="G563" s="12"/>
      <c r="H563" s="12"/>
      <c r="I563" s="10"/>
      <c r="J563" s="11"/>
      <c r="K563" s="11"/>
      <c r="L563" s="11"/>
      <c r="M563" s="11"/>
      <c r="N563" s="11"/>
      <c r="O563" s="10"/>
      <c r="P563" s="10"/>
      <c r="Q563" s="10"/>
      <c r="R563" s="10"/>
      <c r="S563" s="10"/>
      <c r="T563" s="10"/>
    </row>
    <row r="564" spans="1:20" s="2" customFormat="1" x14ac:dyDescent="0.25">
      <c r="A564" s="14"/>
      <c r="B564" s="13"/>
      <c r="C564" s="10"/>
      <c r="D564" s="10"/>
      <c r="E564" s="10"/>
      <c r="F564" s="12"/>
      <c r="G564" s="12"/>
      <c r="H564" s="12"/>
      <c r="I564" s="10"/>
      <c r="J564" s="11"/>
      <c r="K564" s="11"/>
      <c r="L564" s="11"/>
      <c r="M564" s="11"/>
      <c r="N564" s="11"/>
      <c r="O564" s="10"/>
      <c r="P564" s="10"/>
      <c r="Q564" s="10"/>
      <c r="R564" s="10"/>
      <c r="S564" s="10"/>
      <c r="T564" s="10"/>
    </row>
    <row r="565" spans="1:20" s="2" customFormat="1" x14ac:dyDescent="0.25">
      <c r="A565" s="14"/>
      <c r="B565" s="13"/>
      <c r="C565" s="10"/>
      <c r="D565" s="10"/>
      <c r="E565" s="10"/>
      <c r="F565" s="12"/>
      <c r="G565" s="12"/>
      <c r="H565" s="12"/>
      <c r="I565" s="10"/>
      <c r="J565" s="11"/>
      <c r="K565" s="11"/>
      <c r="L565" s="11"/>
      <c r="M565" s="11"/>
      <c r="N565" s="11"/>
      <c r="O565" s="10"/>
      <c r="P565" s="10"/>
      <c r="Q565" s="10"/>
      <c r="R565" s="10"/>
      <c r="S565" s="10"/>
      <c r="T565" s="10"/>
    </row>
    <row r="566" spans="1:20" s="2" customFormat="1" x14ac:dyDescent="0.25">
      <c r="A566" s="14"/>
      <c r="B566" s="13"/>
      <c r="C566" s="10"/>
      <c r="D566" s="10"/>
      <c r="E566" s="10"/>
      <c r="F566" s="12"/>
      <c r="G566" s="12"/>
      <c r="H566" s="12"/>
      <c r="I566" s="10"/>
      <c r="J566" s="11"/>
      <c r="K566" s="11"/>
      <c r="L566" s="11"/>
      <c r="M566" s="11"/>
      <c r="N566" s="11"/>
      <c r="O566" s="10"/>
      <c r="P566" s="10"/>
      <c r="Q566" s="10"/>
      <c r="R566" s="10"/>
      <c r="S566" s="10"/>
      <c r="T566" s="10"/>
    </row>
    <row r="567" spans="1:20" s="2" customFormat="1" x14ac:dyDescent="0.25">
      <c r="A567" s="14"/>
      <c r="B567" s="13"/>
      <c r="C567" s="10"/>
      <c r="D567" s="10"/>
      <c r="E567" s="10"/>
      <c r="F567" s="12"/>
      <c r="G567" s="12"/>
      <c r="H567" s="12"/>
      <c r="I567" s="10"/>
      <c r="J567" s="11"/>
      <c r="K567" s="11"/>
      <c r="L567" s="11"/>
      <c r="M567" s="11"/>
      <c r="N567" s="11"/>
      <c r="O567" s="10"/>
      <c r="P567" s="10"/>
      <c r="Q567" s="10"/>
      <c r="R567" s="10"/>
      <c r="S567" s="10"/>
      <c r="T567" s="10"/>
    </row>
    <row r="568" spans="1:20" s="2" customFormat="1" x14ac:dyDescent="0.25">
      <c r="A568" s="14"/>
      <c r="B568" s="13"/>
      <c r="C568" s="10"/>
      <c r="D568" s="10"/>
      <c r="E568" s="10"/>
      <c r="F568" s="12"/>
      <c r="G568" s="12"/>
      <c r="H568" s="12"/>
      <c r="I568" s="10"/>
      <c r="J568" s="11"/>
      <c r="K568" s="11"/>
      <c r="L568" s="11"/>
      <c r="M568" s="11"/>
      <c r="N568" s="11"/>
      <c r="O568" s="10"/>
      <c r="P568" s="10"/>
      <c r="Q568" s="10"/>
      <c r="R568" s="10"/>
      <c r="S568" s="10"/>
      <c r="T568" s="10"/>
    </row>
    <row r="569" spans="1:20" s="2" customFormat="1" x14ac:dyDescent="0.25">
      <c r="A569" s="14"/>
      <c r="B569" s="13"/>
      <c r="C569" s="10"/>
      <c r="D569" s="10"/>
      <c r="E569" s="10"/>
      <c r="F569" s="12"/>
      <c r="G569" s="12"/>
      <c r="H569" s="12"/>
      <c r="I569" s="10"/>
      <c r="J569" s="11"/>
      <c r="K569" s="11"/>
      <c r="L569" s="11"/>
      <c r="M569" s="11"/>
      <c r="N569" s="11"/>
      <c r="O569" s="10"/>
      <c r="P569" s="10"/>
      <c r="Q569" s="10"/>
      <c r="R569" s="10"/>
      <c r="S569" s="10"/>
      <c r="T569" s="10"/>
    </row>
    <row r="570" spans="1:20" s="2" customFormat="1" x14ac:dyDescent="0.25">
      <c r="A570" s="14"/>
      <c r="B570" s="13"/>
      <c r="C570" s="10"/>
      <c r="D570" s="10"/>
      <c r="E570" s="10"/>
      <c r="F570" s="12"/>
      <c r="G570" s="12"/>
      <c r="H570" s="12"/>
      <c r="I570" s="10"/>
      <c r="J570" s="11"/>
      <c r="K570" s="11"/>
      <c r="L570" s="11"/>
      <c r="M570" s="11"/>
      <c r="N570" s="11"/>
      <c r="O570" s="10"/>
      <c r="P570" s="10"/>
      <c r="Q570" s="10"/>
      <c r="R570" s="10"/>
      <c r="S570" s="10"/>
      <c r="T570" s="10"/>
    </row>
    <row r="571" spans="1:20" s="2" customFormat="1" x14ac:dyDescent="0.25">
      <c r="A571" s="14"/>
      <c r="B571" s="13"/>
      <c r="C571" s="10"/>
      <c r="D571" s="10"/>
      <c r="E571" s="10"/>
      <c r="F571" s="12"/>
      <c r="G571" s="12"/>
      <c r="H571" s="12"/>
      <c r="I571" s="10"/>
      <c r="J571" s="11"/>
      <c r="K571" s="11"/>
      <c r="L571" s="11"/>
      <c r="M571" s="11"/>
      <c r="N571" s="11"/>
      <c r="O571" s="10"/>
      <c r="P571" s="10"/>
      <c r="Q571" s="10"/>
      <c r="R571" s="10"/>
      <c r="S571" s="10"/>
      <c r="T571" s="10"/>
    </row>
    <row r="572" spans="1:20" s="2" customFormat="1" x14ac:dyDescent="0.25">
      <c r="A572" s="14"/>
      <c r="B572" s="13"/>
      <c r="C572" s="10"/>
      <c r="D572" s="10"/>
      <c r="E572" s="10"/>
      <c r="F572" s="12"/>
      <c r="G572" s="12"/>
      <c r="H572" s="12"/>
      <c r="I572" s="10"/>
      <c r="J572" s="11"/>
      <c r="K572" s="11"/>
      <c r="L572" s="11"/>
      <c r="M572" s="11"/>
      <c r="N572" s="11"/>
      <c r="O572" s="10"/>
      <c r="P572" s="10"/>
      <c r="Q572" s="10"/>
      <c r="R572" s="10"/>
      <c r="S572" s="10"/>
      <c r="T572" s="10"/>
    </row>
    <row r="573" spans="1:20" s="2" customFormat="1" x14ac:dyDescent="0.25">
      <c r="A573" s="14"/>
      <c r="B573" s="13"/>
      <c r="C573" s="10"/>
      <c r="D573" s="10"/>
      <c r="E573" s="10"/>
      <c r="F573" s="12"/>
      <c r="G573" s="12"/>
      <c r="H573" s="12"/>
      <c r="I573" s="10"/>
      <c r="J573" s="11"/>
      <c r="K573" s="11"/>
      <c r="L573" s="11"/>
      <c r="M573" s="11"/>
      <c r="N573" s="11"/>
      <c r="O573" s="10"/>
      <c r="P573" s="10"/>
      <c r="Q573" s="10"/>
      <c r="R573" s="10"/>
      <c r="S573" s="10"/>
      <c r="T573" s="10"/>
    </row>
    <row r="574" spans="1:20" s="2" customFormat="1" x14ac:dyDescent="0.25">
      <c r="A574" s="14"/>
      <c r="B574" s="13"/>
      <c r="C574" s="10"/>
      <c r="D574" s="10"/>
      <c r="E574" s="10"/>
      <c r="F574" s="12"/>
      <c r="G574" s="12"/>
      <c r="H574" s="12"/>
      <c r="I574" s="10"/>
      <c r="J574" s="11"/>
      <c r="K574" s="11"/>
      <c r="L574" s="11"/>
      <c r="M574" s="11"/>
      <c r="N574" s="11"/>
      <c r="O574" s="10"/>
      <c r="P574" s="10"/>
      <c r="Q574" s="10"/>
      <c r="R574" s="10"/>
      <c r="S574" s="10"/>
      <c r="T574" s="10"/>
    </row>
    <row r="575" spans="1:20" s="2" customFormat="1" x14ac:dyDescent="0.25">
      <c r="A575" s="14"/>
      <c r="B575" s="13"/>
      <c r="C575" s="10"/>
      <c r="D575" s="10"/>
      <c r="E575" s="10"/>
      <c r="F575" s="12"/>
      <c r="G575" s="12"/>
      <c r="H575" s="12"/>
      <c r="I575" s="10"/>
      <c r="J575" s="11"/>
      <c r="K575" s="11"/>
      <c r="L575" s="11"/>
      <c r="M575" s="11"/>
      <c r="N575" s="11"/>
      <c r="O575" s="10"/>
      <c r="P575" s="10"/>
      <c r="Q575" s="10"/>
      <c r="R575" s="10"/>
      <c r="S575" s="10"/>
      <c r="T575" s="10"/>
    </row>
    <row r="576" spans="1:20" s="2" customFormat="1" x14ac:dyDescent="0.25">
      <c r="A576" s="14"/>
      <c r="B576" s="13"/>
      <c r="C576" s="10"/>
      <c r="D576" s="10"/>
      <c r="E576" s="10"/>
      <c r="F576" s="12"/>
      <c r="G576" s="12"/>
      <c r="H576" s="12"/>
      <c r="I576" s="10"/>
      <c r="J576" s="11"/>
      <c r="K576" s="11"/>
      <c r="L576" s="11"/>
      <c r="M576" s="11"/>
      <c r="N576" s="11"/>
      <c r="O576" s="10"/>
      <c r="P576" s="10"/>
      <c r="Q576" s="10"/>
      <c r="R576" s="10"/>
      <c r="S576" s="10"/>
      <c r="T576" s="10"/>
    </row>
    <row r="577" spans="1:20" s="2" customFormat="1" x14ac:dyDescent="0.25">
      <c r="A577" s="14"/>
      <c r="B577" s="13"/>
      <c r="C577" s="10"/>
      <c r="D577" s="10"/>
      <c r="E577" s="10"/>
      <c r="F577" s="12"/>
      <c r="G577" s="12"/>
      <c r="H577" s="12"/>
      <c r="I577" s="10"/>
      <c r="J577" s="11"/>
      <c r="K577" s="11"/>
      <c r="L577" s="11"/>
      <c r="M577" s="11"/>
      <c r="N577" s="11"/>
      <c r="O577" s="10"/>
      <c r="P577" s="10"/>
      <c r="Q577" s="10"/>
      <c r="R577" s="10"/>
      <c r="S577" s="10"/>
      <c r="T577" s="10"/>
    </row>
    <row r="578" spans="1:20" s="2" customFormat="1" x14ac:dyDescent="0.25">
      <c r="A578" s="14"/>
      <c r="B578" s="13"/>
      <c r="C578" s="10"/>
      <c r="D578" s="10"/>
      <c r="E578" s="10"/>
      <c r="F578" s="12"/>
      <c r="G578" s="12"/>
      <c r="H578" s="12"/>
      <c r="I578" s="10"/>
      <c r="J578" s="11"/>
      <c r="K578" s="11"/>
      <c r="L578" s="11"/>
      <c r="M578" s="11"/>
      <c r="N578" s="11"/>
      <c r="O578" s="10"/>
      <c r="P578" s="10"/>
      <c r="Q578" s="10"/>
      <c r="R578" s="10"/>
      <c r="S578" s="10"/>
      <c r="T578" s="10"/>
    </row>
    <row r="579" spans="1:20" s="2" customFormat="1" x14ac:dyDescent="0.25">
      <c r="A579" s="14"/>
      <c r="B579" s="13"/>
      <c r="C579" s="10"/>
      <c r="D579" s="10"/>
      <c r="E579" s="10"/>
      <c r="F579" s="12"/>
      <c r="G579" s="12"/>
      <c r="H579" s="12"/>
      <c r="I579" s="10"/>
      <c r="J579" s="11"/>
      <c r="K579" s="11"/>
      <c r="L579" s="11"/>
      <c r="M579" s="11"/>
      <c r="N579" s="11"/>
      <c r="O579" s="10"/>
      <c r="P579" s="10"/>
      <c r="Q579" s="10"/>
      <c r="R579" s="10"/>
      <c r="S579" s="10"/>
      <c r="T579" s="10"/>
    </row>
    <row r="580" spans="1:20" s="2" customFormat="1" x14ac:dyDescent="0.25">
      <c r="A580" s="14"/>
      <c r="B580" s="13"/>
      <c r="C580" s="10"/>
      <c r="D580" s="10"/>
      <c r="E580" s="10"/>
      <c r="F580" s="12"/>
      <c r="G580" s="12"/>
      <c r="H580" s="12"/>
      <c r="I580" s="10"/>
      <c r="J580" s="11"/>
      <c r="K580" s="11"/>
      <c r="L580" s="11"/>
      <c r="M580" s="11"/>
      <c r="N580" s="11"/>
      <c r="O580" s="10"/>
      <c r="P580" s="10"/>
      <c r="Q580" s="10"/>
      <c r="R580" s="10"/>
      <c r="S580" s="10"/>
      <c r="T580" s="10"/>
    </row>
    <row r="581" spans="1:20" s="2" customFormat="1" x14ac:dyDescent="0.25">
      <c r="A581" s="14"/>
      <c r="B581" s="13"/>
      <c r="C581" s="10"/>
      <c r="D581" s="10"/>
      <c r="E581" s="10"/>
      <c r="F581" s="12"/>
      <c r="G581" s="12"/>
      <c r="H581" s="12"/>
      <c r="I581" s="10"/>
      <c r="J581" s="11"/>
      <c r="K581" s="11"/>
      <c r="L581" s="11"/>
      <c r="M581" s="11"/>
      <c r="N581" s="11"/>
      <c r="O581" s="10"/>
      <c r="P581" s="10"/>
      <c r="Q581" s="10"/>
      <c r="R581" s="10"/>
      <c r="S581" s="10"/>
      <c r="T581" s="10"/>
    </row>
    <row r="582" spans="1:20" s="2" customFormat="1" x14ac:dyDescent="0.25">
      <c r="A582" s="14"/>
      <c r="B582" s="13"/>
      <c r="C582" s="10"/>
      <c r="D582" s="10"/>
      <c r="E582" s="10"/>
      <c r="F582" s="12"/>
      <c r="G582" s="12"/>
      <c r="H582" s="12"/>
      <c r="I582" s="10"/>
      <c r="J582" s="11"/>
      <c r="K582" s="11"/>
      <c r="L582" s="11"/>
      <c r="M582" s="11"/>
      <c r="N582" s="11"/>
      <c r="O582" s="10"/>
      <c r="P582" s="10"/>
      <c r="Q582" s="10"/>
      <c r="R582" s="10"/>
      <c r="S582" s="10"/>
      <c r="T582" s="10"/>
    </row>
    <row r="583" spans="1:20" s="2" customFormat="1" x14ac:dyDescent="0.25">
      <c r="A583" s="14"/>
      <c r="B583" s="13"/>
      <c r="C583" s="10"/>
      <c r="D583" s="10"/>
      <c r="E583" s="10"/>
      <c r="F583" s="12"/>
      <c r="G583" s="12"/>
      <c r="H583" s="12"/>
      <c r="I583" s="10"/>
      <c r="J583" s="11"/>
      <c r="K583" s="11"/>
      <c r="L583" s="11"/>
      <c r="M583" s="11"/>
      <c r="N583" s="11"/>
      <c r="O583" s="10"/>
      <c r="P583" s="10"/>
      <c r="Q583" s="10"/>
      <c r="R583" s="10"/>
      <c r="S583" s="10"/>
      <c r="T583" s="10"/>
    </row>
    <row r="584" spans="1:20" s="2" customFormat="1" x14ac:dyDescent="0.25">
      <c r="A584" s="14"/>
      <c r="B584" s="13"/>
      <c r="C584" s="10"/>
      <c r="D584" s="10"/>
      <c r="E584" s="10"/>
      <c r="F584" s="12"/>
      <c r="G584" s="12"/>
      <c r="H584" s="12"/>
      <c r="I584" s="10"/>
      <c r="J584" s="11"/>
      <c r="K584" s="11"/>
      <c r="L584" s="11"/>
      <c r="M584" s="11"/>
      <c r="N584" s="11"/>
      <c r="O584" s="10"/>
      <c r="P584" s="10"/>
      <c r="Q584" s="10"/>
      <c r="R584" s="10"/>
      <c r="S584" s="10"/>
      <c r="T584" s="10"/>
    </row>
  </sheetData>
  <sheetProtection selectLockedCells="1"/>
  <mergeCells count="1">
    <mergeCell ref="A1:B1"/>
  </mergeCells>
  <pageMargins left="0.7" right="0.7" top="0.75" bottom="0.75" header="0.3" footer="0.3"/>
  <pageSetup paperSize="9" scale="19" fitToHeight="0"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HIKVISION TURBO</vt:lpstr>
      <vt:lpstr>'HIKVISION TURBO'!Área_de_impresión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Esnaider Idrobo</cp:lastModifiedBy>
  <dcterms:created xsi:type="dcterms:W3CDTF">2026-07-24T22:05:15Z</dcterms:created>
  <dcterms:modified xsi:type="dcterms:W3CDTF">2026-07-27T16:04:07Z</dcterms:modified>
</cp:coreProperties>
</file>