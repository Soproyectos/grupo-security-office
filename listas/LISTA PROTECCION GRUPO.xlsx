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84703523-2169-4645-B5DD-05A350552746}" xr6:coauthVersionLast="47" xr6:coauthVersionMax="47" xr10:uidLastSave="{00000000-0000-0000-0000-000000000000}"/>
  <bookViews>
    <workbookView xWindow="-120" yWindow="-120" windowWidth="24240" windowHeight="13140" xr2:uid="{893D69EC-AC0C-4627-AA28-7E4BA719CB77}"/>
  </bookViews>
  <sheets>
    <sheet name="POWES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" i="1" l="1"/>
  <c r="H16" i="1"/>
  <c r="H17" i="1"/>
  <c r="H18" i="1"/>
  <c r="C15" i="1"/>
  <c r="C16" i="1"/>
  <c r="E16" i="1" s="1"/>
  <c r="F16" i="1"/>
  <c r="C17" i="1"/>
  <c r="C18" i="1"/>
  <c r="E18" i="1" s="1"/>
  <c r="F18" i="1"/>
  <c r="H336" i="1"/>
  <c r="C336" i="1"/>
  <c r="E336" i="1" s="1"/>
  <c r="H334" i="1"/>
  <c r="C334" i="1" s="1"/>
  <c r="H333" i="1"/>
  <c r="C333" i="1" s="1"/>
  <c r="F333" i="1" s="1"/>
  <c r="D333" i="1" s="1"/>
  <c r="H331" i="1"/>
  <c r="C331" i="1"/>
  <c r="H330" i="1"/>
  <c r="H329" i="1"/>
  <c r="C329" i="1"/>
  <c r="H328" i="1"/>
  <c r="C328" i="1" s="1"/>
  <c r="F328" i="1" s="1"/>
  <c r="D328" i="1" s="1"/>
  <c r="H327" i="1"/>
  <c r="C327" i="1"/>
  <c r="H326" i="1"/>
  <c r="C326" i="1" s="1"/>
  <c r="E326" i="1" s="1"/>
  <c r="H325" i="1"/>
  <c r="C325" i="1"/>
  <c r="H323" i="1"/>
  <c r="C323" i="1" s="1"/>
  <c r="F323" i="1" s="1"/>
  <c r="D323" i="1" s="1"/>
  <c r="H322" i="1"/>
  <c r="C322" i="1" s="1"/>
  <c r="H321" i="1"/>
  <c r="C321" i="1"/>
  <c r="E321" i="1" s="1"/>
  <c r="H320" i="1"/>
  <c r="C320" i="1" s="1"/>
  <c r="H319" i="1"/>
  <c r="C319" i="1" s="1"/>
  <c r="F319" i="1" s="1"/>
  <c r="D319" i="1" s="1"/>
  <c r="H318" i="1"/>
  <c r="C318" i="1" s="1"/>
  <c r="H317" i="1"/>
  <c r="C317" i="1" s="1"/>
  <c r="E317" i="1" s="1"/>
  <c r="H316" i="1"/>
  <c r="C316" i="1" s="1"/>
  <c r="H314" i="1"/>
  <c r="C314" i="1" s="1"/>
  <c r="F314" i="1" s="1"/>
  <c r="D314" i="1" s="1"/>
  <c r="H313" i="1"/>
  <c r="C313" i="1" s="1"/>
  <c r="H312" i="1"/>
  <c r="C312" i="1" s="1"/>
  <c r="E312" i="1" s="1"/>
  <c r="H311" i="1"/>
  <c r="C311" i="1"/>
  <c r="H308" i="1"/>
  <c r="C308" i="1" s="1"/>
  <c r="F308" i="1" s="1"/>
  <c r="D308" i="1" s="1"/>
  <c r="H307" i="1"/>
  <c r="C307" i="1" s="1"/>
  <c r="H306" i="1"/>
  <c r="C306" i="1" s="1"/>
  <c r="E306" i="1" s="1"/>
  <c r="H305" i="1"/>
  <c r="H304" i="1"/>
  <c r="C304" i="1"/>
  <c r="F304" i="1" s="1"/>
  <c r="D304" i="1" s="1"/>
  <c r="H303" i="1"/>
  <c r="C303" i="1"/>
  <c r="H302" i="1"/>
  <c r="C302" i="1"/>
  <c r="E302" i="1" s="1"/>
  <c r="H300" i="1"/>
  <c r="H299" i="1"/>
  <c r="H298" i="1"/>
  <c r="C298" i="1"/>
  <c r="H297" i="1"/>
  <c r="C297" i="1" s="1"/>
  <c r="E297" i="1" s="1"/>
  <c r="H296" i="1"/>
  <c r="C296" i="1" s="1"/>
  <c r="H295" i="1"/>
  <c r="C295" i="1" s="1"/>
  <c r="F295" i="1" s="1"/>
  <c r="D295" i="1" s="1"/>
  <c r="H294" i="1"/>
  <c r="C294" i="1"/>
  <c r="H293" i="1"/>
  <c r="C293" i="1"/>
  <c r="E293" i="1" s="1"/>
  <c r="H292" i="1"/>
  <c r="H291" i="1"/>
  <c r="C291" i="1" s="1"/>
  <c r="F291" i="1" s="1"/>
  <c r="D291" i="1" s="1"/>
  <c r="H290" i="1"/>
  <c r="C290" i="1"/>
  <c r="H289" i="1"/>
  <c r="C289" i="1" s="1"/>
  <c r="E289" i="1" s="1"/>
  <c r="H288" i="1"/>
  <c r="C288" i="1" s="1"/>
  <c r="H287" i="1"/>
  <c r="C287" i="1" s="1"/>
  <c r="F287" i="1" s="1"/>
  <c r="D287" i="1" s="1"/>
  <c r="H286" i="1"/>
  <c r="C286" i="1" s="1"/>
  <c r="H285" i="1"/>
  <c r="H284" i="1"/>
  <c r="C284" i="1"/>
  <c r="H283" i="1"/>
  <c r="C283" i="1" s="1"/>
  <c r="F283" i="1" s="1"/>
  <c r="D283" i="1" s="1"/>
  <c r="H282" i="1"/>
  <c r="C282" i="1" s="1"/>
  <c r="H281" i="1"/>
  <c r="C281" i="1"/>
  <c r="E281" i="1" s="1"/>
  <c r="H280" i="1"/>
  <c r="C280" i="1" s="1"/>
  <c r="H279" i="1"/>
  <c r="C279" i="1"/>
  <c r="F279" i="1" s="1"/>
  <c r="D279" i="1" s="1"/>
  <c r="H278" i="1"/>
  <c r="C278" i="1"/>
  <c r="H277" i="1"/>
  <c r="C277" i="1" s="1"/>
  <c r="E277" i="1" s="1"/>
  <c r="H275" i="1"/>
  <c r="H274" i="1"/>
  <c r="C274" i="1" s="1"/>
  <c r="F274" i="1" s="1"/>
  <c r="D274" i="1" s="1"/>
  <c r="H273" i="1"/>
  <c r="C273" i="1"/>
  <c r="H272" i="1"/>
  <c r="C272" i="1" s="1"/>
  <c r="E272" i="1" s="1"/>
  <c r="H271" i="1"/>
  <c r="H270" i="1"/>
  <c r="C270" i="1" s="1"/>
  <c r="F270" i="1" s="1"/>
  <c r="D270" i="1" s="1"/>
  <c r="H269" i="1"/>
  <c r="C269" i="1"/>
  <c r="H268" i="1"/>
  <c r="H267" i="1"/>
  <c r="H266" i="1"/>
  <c r="C266" i="1" s="1"/>
  <c r="F266" i="1" s="1"/>
  <c r="D266" i="1" s="1"/>
  <c r="H265" i="1"/>
  <c r="C265" i="1"/>
  <c r="H264" i="1"/>
  <c r="C264" i="1" s="1"/>
  <c r="E264" i="1" s="1"/>
  <c r="H263" i="1"/>
  <c r="C263" i="1" s="1"/>
  <c r="H262" i="1"/>
  <c r="C262" i="1"/>
  <c r="F262" i="1" s="1"/>
  <c r="D262" i="1" s="1"/>
  <c r="H261" i="1"/>
  <c r="H260" i="1"/>
  <c r="C260" i="1" s="1"/>
  <c r="E260" i="1" s="1"/>
  <c r="H258" i="1"/>
  <c r="C258" i="1" s="1"/>
  <c r="H257" i="1"/>
  <c r="C257" i="1" s="1"/>
  <c r="F257" i="1" s="1"/>
  <c r="D257" i="1" s="1"/>
  <c r="H256" i="1"/>
  <c r="C256" i="1" s="1"/>
  <c r="H255" i="1"/>
  <c r="C255" i="1"/>
  <c r="E255" i="1" s="1"/>
  <c r="H254" i="1"/>
  <c r="C254" i="1" s="1"/>
  <c r="H253" i="1"/>
  <c r="C253" i="1"/>
  <c r="F253" i="1" s="1"/>
  <c r="D253" i="1" s="1"/>
  <c r="H252" i="1"/>
  <c r="C252" i="1"/>
  <c r="H251" i="1"/>
  <c r="C251" i="1"/>
  <c r="E251" i="1" s="1"/>
  <c r="H250" i="1"/>
  <c r="C250" i="1"/>
  <c r="H249" i="1"/>
  <c r="C249" i="1"/>
  <c r="F249" i="1" s="1"/>
  <c r="D249" i="1" s="1"/>
  <c r="H248" i="1"/>
  <c r="C248" i="1" s="1"/>
  <c r="H245" i="1"/>
  <c r="C245" i="1"/>
  <c r="E245" i="1" s="1"/>
  <c r="H244" i="1"/>
  <c r="C244" i="1"/>
  <c r="H243" i="1"/>
  <c r="C243" i="1"/>
  <c r="F243" i="1" s="1"/>
  <c r="D243" i="1" s="1"/>
  <c r="H242" i="1"/>
  <c r="C242" i="1"/>
  <c r="H241" i="1"/>
  <c r="H240" i="1"/>
  <c r="C240" i="1"/>
  <c r="H239" i="1"/>
  <c r="C239" i="1" s="1"/>
  <c r="F239" i="1" s="1"/>
  <c r="D239" i="1" s="1"/>
  <c r="H238" i="1"/>
  <c r="H237" i="1"/>
  <c r="C237" i="1"/>
  <c r="E237" i="1" s="1"/>
  <c r="H236" i="1"/>
  <c r="C236" i="1"/>
  <c r="H235" i="1"/>
  <c r="C235" i="1"/>
  <c r="F235" i="1" s="1"/>
  <c r="D235" i="1" s="1"/>
  <c r="H234" i="1"/>
  <c r="C234" i="1"/>
  <c r="H233" i="1"/>
  <c r="C233" i="1"/>
  <c r="E233" i="1" s="1"/>
  <c r="H232" i="1"/>
  <c r="C232" i="1"/>
  <c r="H231" i="1"/>
  <c r="C231" i="1"/>
  <c r="F231" i="1" s="1"/>
  <c r="D231" i="1" s="1"/>
  <c r="H230" i="1"/>
  <c r="C230" i="1"/>
  <c r="H229" i="1"/>
  <c r="C229" i="1"/>
  <c r="E229" i="1" s="1"/>
  <c r="H228" i="1"/>
  <c r="C228" i="1" s="1"/>
  <c r="H227" i="1"/>
  <c r="C227" i="1" s="1"/>
  <c r="F227" i="1" s="1"/>
  <c r="H226" i="1"/>
  <c r="C226" i="1"/>
  <c r="H225" i="1"/>
  <c r="H224" i="1"/>
  <c r="C224" i="1" s="1"/>
  <c r="H223" i="1"/>
  <c r="C223" i="1" s="1"/>
  <c r="E223" i="1" s="1"/>
  <c r="H222" i="1"/>
  <c r="C222" i="1"/>
  <c r="H221" i="1"/>
  <c r="H220" i="1"/>
  <c r="C220" i="1" s="1"/>
  <c r="H219" i="1"/>
  <c r="C219" i="1" s="1"/>
  <c r="F219" i="1" s="1"/>
  <c r="D219" i="1" s="1"/>
  <c r="H218" i="1"/>
  <c r="H217" i="1"/>
  <c r="H216" i="1"/>
  <c r="C216" i="1" s="1"/>
  <c r="H215" i="1"/>
  <c r="H214" i="1"/>
  <c r="C214" i="1"/>
  <c r="H213" i="1"/>
  <c r="H212" i="1"/>
  <c r="C212" i="1" s="1"/>
  <c r="H211" i="1"/>
  <c r="C211" i="1" s="1"/>
  <c r="E211" i="1" s="1"/>
  <c r="H210" i="1"/>
  <c r="C210" i="1" s="1"/>
  <c r="H209" i="1"/>
  <c r="H208" i="1"/>
  <c r="C208" i="1" s="1"/>
  <c r="H207" i="1"/>
  <c r="C207" i="1" s="1"/>
  <c r="E207" i="1" s="1"/>
  <c r="H206" i="1"/>
  <c r="C206" i="1" s="1"/>
  <c r="H205" i="1"/>
  <c r="H204" i="1"/>
  <c r="H203" i="1"/>
  <c r="H201" i="1"/>
  <c r="H200" i="1"/>
  <c r="C200" i="1"/>
  <c r="H198" i="1"/>
  <c r="C198" i="1"/>
  <c r="H197" i="1"/>
  <c r="C197" i="1"/>
  <c r="F197" i="1" s="1"/>
  <c r="H196" i="1"/>
  <c r="C196" i="1" s="1"/>
  <c r="H195" i="1"/>
  <c r="C195" i="1"/>
  <c r="H193" i="1"/>
  <c r="C193" i="1" s="1"/>
  <c r="H192" i="1"/>
  <c r="C192" i="1" s="1"/>
  <c r="H191" i="1"/>
  <c r="C191" i="1" s="1"/>
  <c r="H190" i="1"/>
  <c r="C190" i="1"/>
  <c r="H188" i="1"/>
  <c r="C188" i="1" s="1"/>
  <c r="H187" i="1"/>
  <c r="C187" i="1" s="1"/>
  <c r="H186" i="1"/>
  <c r="C186" i="1"/>
  <c r="H185" i="1"/>
  <c r="C185" i="1" s="1"/>
  <c r="H184" i="1"/>
  <c r="C184" i="1"/>
  <c r="H183" i="1"/>
  <c r="C183" i="1" s="1"/>
  <c r="H182" i="1"/>
  <c r="C182" i="1" s="1"/>
  <c r="H181" i="1"/>
  <c r="C181" i="1" s="1"/>
  <c r="H180" i="1"/>
  <c r="C180" i="1" s="1"/>
  <c r="H179" i="1"/>
  <c r="C179" i="1" s="1"/>
  <c r="F179" i="1" s="1"/>
  <c r="H178" i="1"/>
  <c r="C178" i="1" s="1"/>
  <c r="H177" i="1"/>
  <c r="H176" i="1"/>
  <c r="H175" i="1"/>
  <c r="C175" i="1" s="1"/>
  <c r="H174" i="1"/>
  <c r="C174" i="1" s="1"/>
  <c r="H173" i="1"/>
  <c r="C173" i="1"/>
  <c r="H172" i="1"/>
  <c r="C172" i="1" s="1"/>
  <c r="H171" i="1"/>
  <c r="C171" i="1" s="1"/>
  <c r="H170" i="1"/>
  <c r="C170" i="1" s="1"/>
  <c r="H169" i="1"/>
  <c r="C169" i="1" s="1"/>
  <c r="H168" i="1"/>
  <c r="H167" i="1"/>
  <c r="H166" i="1"/>
  <c r="H164" i="1"/>
  <c r="C164" i="1" s="1"/>
  <c r="H163" i="1"/>
  <c r="C163" i="1" s="1"/>
  <c r="H162" i="1"/>
  <c r="C162" i="1" s="1"/>
  <c r="F162" i="1" s="1"/>
  <c r="H161" i="1"/>
  <c r="C161" i="1" s="1"/>
  <c r="H160" i="1"/>
  <c r="C160" i="1" s="1"/>
  <c r="H159" i="1"/>
  <c r="C159" i="1"/>
  <c r="H158" i="1"/>
  <c r="C158" i="1" s="1"/>
  <c r="H157" i="1"/>
  <c r="C157" i="1" s="1"/>
  <c r="H156" i="1"/>
  <c r="C156" i="1"/>
  <c r="H155" i="1"/>
  <c r="C155" i="1"/>
  <c r="H154" i="1"/>
  <c r="C154" i="1" s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H146" i="1"/>
  <c r="C146" i="1"/>
  <c r="F146" i="1" s="1"/>
  <c r="H145" i="1"/>
  <c r="C145" i="1" s="1"/>
  <c r="H144" i="1"/>
  <c r="C144" i="1"/>
  <c r="H143" i="1"/>
  <c r="C143" i="1"/>
  <c r="H142" i="1"/>
  <c r="C142" i="1" s="1"/>
  <c r="H140" i="1"/>
  <c r="C140" i="1" s="1"/>
  <c r="H139" i="1"/>
  <c r="C139" i="1" s="1"/>
  <c r="H138" i="1"/>
  <c r="C138" i="1" s="1"/>
  <c r="H137" i="1"/>
  <c r="C137" i="1" s="1"/>
  <c r="H136" i="1"/>
  <c r="C136" i="1"/>
  <c r="H135" i="1"/>
  <c r="C135" i="1"/>
  <c r="H134" i="1"/>
  <c r="C134" i="1"/>
  <c r="H133" i="1"/>
  <c r="C133" i="1" s="1"/>
  <c r="H131" i="1"/>
  <c r="C131" i="1" s="1"/>
  <c r="H129" i="1"/>
  <c r="C129" i="1" s="1"/>
  <c r="H128" i="1"/>
  <c r="C128" i="1" s="1"/>
  <c r="H127" i="1"/>
  <c r="C127" i="1" s="1"/>
  <c r="F127" i="1" s="1"/>
  <c r="H125" i="1"/>
  <c r="C125" i="1" s="1"/>
  <c r="H124" i="1"/>
  <c r="C124" i="1" s="1"/>
  <c r="H123" i="1"/>
  <c r="C123" i="1" s="1"/>
  <c r="H122" i="1"/>
  <c r="C122" i="1" s="1"/>
  <c r="H121" i="1"/>
  <c r="C121" i="1" s="1"/>
  <c r="H120" i="1"/>
  <c r="C120" i="1" s="1"/>
  <c r="H119" i="1"/>
  <c r="C119" i="1" s="1"/>
  <c r="H118" i="1"/>
  <c r="C118" i="1" s="1"/>
  <c r="H116" i="1"/>
  <c r="C116" i="1" s="1"/>
  <c r="H115" i="1"/>
  <c r="C115" i="1"/>
  <c r="H114" i="1"/>
  <c r="C114" i="1"/>
  <c r="H112" i="1"/>
  <c r="C112" i="1" s="1"/>
  <c r="H111" i="1"/>
  <c r="C111" i="1" s="1"/>
  <c r="H110" i="1"/>
  <c r="C110" i="1"/>
  <c r="H109" i="1"/>
  <c r="C109" i="1" s="1"/>
  <c r="H107" i="1"/>
  <c r="H106" i="1"/>
  <c r="C106" i="1" s="1"/>
  <c r="H105" i="1"/>
  <c r="H104" i="1"/>
  <c r="C104" i="1" s="1"/>
  <c r="F104" i="1" s="1"/>
  <c r="H103" i="1"/>
  <c r="C103" i="1" s="1"/>
  <c r="E103" i="1" s="1"/>
  <c r="H102" i="1"/>
  <c r="C102" i="1" s="1"/>
  <c r="F102" i="1" s="1"/>
  <c r="H101" i="1"/>
  <c r="C101" i="1" s="1"/>
  <c r="H100" i="1"/>
  <c r="C100" i="1" s="1"/>
  <c r="F100" i="1" s="1"/>
  <c r="H99" i="1"/>
  <c r="C99" i="1" s="1"/>
  <c r="E99" i="1" s="1"/>
  <c r="H98" i="1"/>
  <c r="C98" i="1" s="1"/>
  <c r="F98" i="1" s="1"/>
  <c r="H97" i="1"/>
  <c r="C97" i="1" s="1"/>
  <c r="H96" i="1"/>
  <c r="C96" i="1" s="1"/>
  <c r="H95" i="1"/>
  <c r="C95" i="1" s="1"/>
  <c r="E95" i="1" s="1"/>
  <c r="H94" i="1"/>
  <c r="C94" i="1" s="1"/>
  <c r="F94" i="1" s="1"/>
  <c r="H93" i="1"/>
  <c r="C93" i="1" s="1"/>
  <c r="H92" i="1"/>
  <c r="C92" i="1" s="1"/>
  <c r="H91" i="1"/>
  <c r="H90" i="1"/>
  <c r="H89" i="1"/>
  <c r="C89" i="1" s="1"/>
  <c r="F89" i="1" s="1"/>
  <c r="D89" i="1" s="1"/>
  <c r="H88" i="1"/>
  <c r="C88" i="1"/>
  <c r="H87" i="1"/>
  <c r="C87" i="1" s="1"/>
  <c r="F87" i="1" s="1"/>
  <c r="H86" i="1"/>
  <c r="H85" i="1"/>
  <c r="C85" i="1" s="1"/>
  <c r="F85" i="1" s="1"/>
  <c r="D85" i="1" s="1"/>
  <c r="H84" i="1"/>
  <c r="C84" i="1"/>
  <c r="H83" i="1"/>
  <c r="C83" i="1" s="1"/>
  <c r="F83" i="1" s="1"/>
  <c r="H82" i="1"/>
  <c r="C82" i="1" s="1"/>
  <c r="F82" i="1" s="1"/>
  <c r="D82" i="1" s="1"/>
  <c r="H81" i="1"/>
  <c r="C81" i="1" s="1"/>
  <c r="F81" i="1" s="1"/>
  <c r="D81" i="1" s="1"/>
  <c r="H79" i="1"/>
  <c r="H78" i="1"/>
  <c r="C78" i="1" s="1"/>
  <c r="F78" i="1" s="1"/>
  <c r="H77" i="1"/>
  <c r="C77" i="1" s="1"/>
  <c r="F77" i="1" s="1"/>
  <c r="D77" i="1" s="1"/>
  <c r="H76" i="1"/>
  <c r="C76" i="1" s="1"/>
  <c r="F76" i="1" s="1"/>
  <c r="D76" i="1" s="1"/>
  <c r="H75" i="1"/>
  <c r="C75" i="1" s="1"/>
  <c r="H74" i="1"/>
  <c r="C74" i="1" s="1"/>
  <c r="F74" i="1" s="1"/>
  <c r="H73" i="1"/>
  <c r="C73" i="1" s="1"/>
  <c r="F73" i="1" s="1"/>
  <c r="D73" i="1" s="1"/>
  <c r="H72" i="1"/>
  <c r="C72" i="1" s="1"/>
  <c r="F72" i="1" s="1"/>
  <c r="D72" i="1" s="1"/>
  <c r="H70" i="1"/>
  <c r="H69" i="1"/>
  <c r="C69" i="1"/>
  <c r="F69" i="1" s="1"/>
  <c r="H68" i="1"/>
  <c r="H67" i="1"/>
  <c r="C67" i="1" s="1"/>
  <c r="F67" i="1" s="1"/>
  <c r="D67" i="1" s="1"/>
  <c r="H66" i="1"/>
  <c r="C66" i="1" s="1"/>
  <c r="H65" i="1"/>
  <c r="C65" i="1" s="1"/>
  <c r="F65" i="1" s="1"/>
  <c r="H64" i="1"/>
  <c r="C64" i="1" s="1"/>
  <c r="F64" i="1" s="1"/>
  <c r="D64" i="1" s="1"/>
  <c r="H63" i="1"/>
  <c r="C63" i="1" s="1"/>
  <c r="F63" i="1" s="1"/>
  <c r="D63" i="1" s="1"/>
  <c r="H62" i="1"/>
  <c r="C62" i="1" s="1"/>
  <c r="H61" i="1"/>
  <c r="C61" i="1" s="1"/>
  <c r="F61" i="1" s="1"/>
  <c r="H60" i="1"/>
  <c r="H58" i="1"/>
  <c r="C58" i="1" s="1"/>
  <c r="F58" i="1" s="1"/>
  <c r="D58" i="1" s="1"/>
  <c r="H57" i="1"/>
  <c r="C57" i="1" s="1"/>
  <c r="H56" i="1"/>
  <c r="C56" i="1" s="1"/>
  <c r="F56" i="1" s="1"/>
  <c r="H55" i="1"/>
  <c r="C55" i="1" s="1"/>
  <c r="F55" i="1" s="1"/>
  <c r="D55" i="1" s="1"/>
  <c r="H54" i="1"/>
  <c r="C54" i="1" s="1"/>
  <c r="F54" i="1" s="1"/>
  <c r="D54" i="1" s="1"/>
  <c r="H53" i="1"/>
  <c r="C53" i="1" s="1"/>
  <c r="H52" i="1"/>
  <c r="C52" i="1"/>
  <c r="F52" i="1" s="1"/>
  <c r="H51" i="1"/>
  <c r="C51" i="1" s="1"/>
  <c r="F51" i="1" s="1"/>
  <c r="D51" i="1" s="1"/>
  <c r="H50" i="1"/>
  <c r="C50" i="1" s="1"/>
  <c r="F50" i="1" s="1"/>
  <c r="D50" i="1" s="1"/>
  <c r="H49" i="1"/>
  <c r="C49" i="1" s="1"/>
  <c r="H48" i="1"/>
  <c r="C48" i="1" s="1"/>
  <c r="F48" i="1" s="1"/>
  <c r="H47" i="1"/>
  <c r="C47" i="1" s="1"/>
  <c r="F47" i="1" s="1"/>
  <c r="D47" i="1" s="1"/>
  <c r="H46" i="1"/>
  <c r="C46" i="1" s="1"/>
  <c r="F46" i="1" s="1"/>
  <c r="D46" i="1" s="1"/>
  <c r="H45" i="1"/>
  <c r="C45" i="1"/>
  <c r="H44" i="1"/>
  <c r="C44" i="1" s="1"/>
  <c r="F44" i="1" s="1"/>
  <c r="H43" i="1"/>
  <c r="C43" i="1" s="1"/>
  <c r="F43" i="1" s="1"/>
  <c r="D43" i="1" s="1"/>
  <c r="H41" i="1"/>
  <c r="H40" i="1"/>
  <c r="C40" i="1" s="1"/>
  <c r="F40" i="1" s="1"/>
  <c r="H39" i="1"/>
  <c r="C39" i="1"/>
  <c r="F39" i="1" s="1"/>
  <c r="D39" i="1" s="1"/>
  <c r="H38" i="1"/>
  <c r="C38" i="1" s="1"/>
  <c r="F38" i="1" s="1"/>
  <c r="D38" i="1" s="1"/>
  <c r="H37" i="1"/>
  <c r="C37" i="1" s="1"/>
  <c r="H36" i="1"/>
  <c r="C36" i="1" s="1"/>
  <c r="F36" i="1" s="1"/>
  <c r="H34" i="1"/>
  <c r="C34" i="1" s="1"/>
  <c r="F34" i="1" s="1"/>
  <c r="D34" i="1" s="1"/>
  <c r="H33" i="1"/>
  <c r="C33" i="1" s="1"/>
  <c r="F33" i="1" s="1"/>
  <c r="D33" i="1" s="1"/>
  <c r="H32" i="1"/>
  <c r="C32" i="1" s="1"/>
  <c r="H31" i="1"/>
  <c r="C31" i="1" s="1"/>
  <c r="F31" i="1" s="1"/>
  <c r="H30" i="1"/>
  <c r="C30" i="1" s="1"/>
  <c r="F30" i="1" s="1"/>
  <c r="D30" i="1" s="1"/>
  <c r="H29" i="1"/>
  <c r="C29" i="1" s="1"/>
  <c r="F29" i="1" s="1"/>
  <c r="D29" i="1" s="1"/>
  <c r="H28" i="1"/>
  <c r="C28" i="1" s="1"/>
  <c r="H27" i="1"/>
  <c r="C27" i="1" s="1"/>
  <c r="F27" i="1" s="1"/>
  <c r="H26" i="1"/>
  <c r="C26" i="1" s="1"/>
  <c r="F26" i="1" s="1"/>
  <c r="D26" i="1" s="1"/>
  <c r="H25" i="1"/>
  <c r="C25" i="1" s="1"/>
  <c r="F25" i="1" s="1"/>
  <c r="D25" i="1" s="1"/>
  <c r="H24" i="1"/>
  <c r="C24" i="1" s="1"/>
  <c r="H23" i="1"/>
  <c r="C23" i="1" s="1"/>
  <c r="F23" i="1" s="1"/>
  <c r="H21" i="1"/>
  <c r="C21" i="1" s="1"/>
  <c r="F21" i="1" s="1"/>
  <c r="D21" i="1" s="1"/>
  <c r="H20" i="1"/>
  <c r="C20" i="1" s="1"/>
  <c r="F20" i="1" s="1"/>
  <c r="D20" i="1" s="1"/>
  <c r="H14" i="1"/>
  <c r="C14" i="1" s="1"/>
  <c r="H13" i="1"/>
  <c r="C13" i="1" s="1"/>
  <c r="F13" i="1" s="1"/>
  <c r="H12" i="1"/>
  <c r="C12" i="1" s="1"/>
  <c r="F12" i="1" s="1"/>
  <c r="D12" i="1" s="1"/>
  <c r="H11" i="1"/>
  <c r="C11" i="1" s="1"/>
  <c r="F11" i="1" s="1"/>
  <c r="D11" i="1" s="1"/>
  <c r="H10" i="1"/>
  <c r="C10" i="1" s="1"/>
  <c r="H9" i="1"/>
  <c r="C9" i="1" s="1"/>
  <c r="F9" i="1" s="1"/>
  <c r="H8" i="1"/>
  <c r="C8" i="1" s="1"/>
  <c r="F8" i="1" s="1"/>
  <c r="D8" i="1" s="1"/>
  <c r="H7" i="1"/>
  <c r="C7" i="1" s="1"/>
  <c r="F7" i="1" s="1"/>
  <c r="D7" i="1" s="1"/>
  <c r="H6" i="1"/>
  <c r="C6" i="1" s="1"/>
  <c r="H5" i="1"/>
  <c r="C5" i="1" s="1"/>
  <c r="F5" i="1" s="1"/>
  <c r="H4" i="1"/>
  <c r="C4" i="1" s="1"/>
  <c r="F4" i="1" s="1"/>
  <c r="D4" i="1" s="1"/>
  <c r="H3" i="1"/>
  <c r="C3" i="1" s="1"/>
  <c r="F3" i="1" s="1"/>
  <c r="D3" i="1" s="1"/>
  <c r="D16" i="1" l="1"/>
  <c r="D18" i="1"/>
  <c r="E15" i="1"/>
  <c r="F15" i="1"/>
  <c r="D15" i="1" s="1"/>
  <c r="F17" i="1"/>
  <c r="D17" i="1"/>
  <c r="E17" i="1"/>
  <c r="C330" i="1"/>
  <c r="C299" i="1"/>
  <c r="F299" i="1" s="1"/>
  <c r="D299" i="1" s="1"/>
  <c r="C285" i="1"/>
  <c r="C261" i="1"/>
  <c r="C225" i="1"/>
  <c r="C221" i="1"/>
  <c r="C238" i="1"/>
  <c r="C217" i="1"/>
  <c r="E217" i="1" s="1"/>
  <c r="C203" i="1"/>
  <c r="C215" i="1"/>
  <c r="F215" i="1" s="1"/>
  <c r="D215" i="1" s="1"/>
  <c r="C213" i="1"/>
  <c r="E213" i="1" s="1"/>
  <c r="C209" i="1"/>
  <c r="C205" i="1"/>
  <c r="C204" i="1"/>
  <c r="C201" i="1"/>
  <c r="C167" i="1"/>
  <c r="F167" i="1" s="1"/>
  <c r="C166" i="1"/>
  <c r="C177" i="1"/>
  <c r="C176" i="1"/>
  <c r="C147" i="1"/>
  <c r="C107" i="1"/>
  <c r="C105" i="1"/>
  <c r="C90" i="1"/>
  <c r="F90" i="1" s="1"/>
  <c r="D90" i="1" s="1"/>
  <c r="C70" i="1"/>
  <c r="C68" i="1"/>
  <c r="C60" i="1"/>
  <c r="C41" i="1"/>
  <c r="F336" i="1"/>
  <c r="D336" i="1" s="1"/>
  <c r="E333" i="1"/>
  <c r="E253" i="1"/>
  <c r="F252" i="1"/>
  <c r="D252" i="1" s="1"/>
  <c r="E252" i="1"/>
  <c r="F251" i="1"/>
  <c r="D251" i="1" s="1"/>
  <c r="E249" i="1"/>
  <c r="F248" i="1"/>
  <c r="D248" i="1" s="1"/>
  <c r="E248" i="1"/>
  <c r="F245" i="1"/>
  <c r="E243" i="1"/>
  <c r="F242" i="1"/>
  <c r="D242" i="1" s="1"/>
  <c r="E242" i="1"/>
  <c r="E239" i="1"/>
  <c r="F238" i="1"/>
  <c r="D238" i="1" s="1"/>
  <c r="E238" i="1"/>
  <c r="F237" i="1"/>
  <c r="D237" i="1" s="1"/>
  <c r="E235" i="1"/>
  <c r="F234" i="1"/>
  <c r="D234" i="1" s="1"/>
  <c r="E234" i="1"/>
  <c r="F233" i="1"/>
  <c r="D233" i="1" s="1"/>
  <c r="E231" i="1"/>
  <c r="F230" i="1"/>
  <c r="D230" i="1" s="1"/>
  <c r="E230" i="1"/>
  <c r="F229" i="1"/>
  <c r="D229" i="1" s="1"/>
  <c r="E227" i="1"/>
  <c r="D227" i="1"/>
  <c r="F226" i="1"/>
  <c r="D226" i="1" s="1"/>
  <c r="E226" i="1"/>
  <c r="F225" i="1"/>
  <c r="F222" i="1"/>
  <c r="D222" i="1" s="1"/>
  <c r="E222" i="1"/>
  <c r="F221" i="1"/>
  <c r="E219" i="1"/>
  <c r="F217" i="1"/>
  <c r="E215" i="1"/>
  <c r="F214" i="1"/>
  <c r="D214" i="1" s="1"/>
  <c r="E214" i="1"/>
  <c r="F213" i="1"/>
  <c r="F211" i="1"/>
  <c r="F209" i="1"/>
  <c r="E209" i="1"/>
  <c r="F208" i="1"/>
  <c r="D208" i="1" s="1"/>
  <c r="E208" i="1"/>
  <c r="F207" i="1"/>
  <c r="F205" i="1"/>
  <c r="E205" i="1"/>
  <c r="D205" i="1"/>
  <c r="F204" i="1"/>
  <c r="E204" i="1"/>
  <c r="F203" i="1"/>
  <c r="F200" i="1"/>
  <c r="E200" i="1"/>
  <c r="D200" i="1"/>
  <c r="F198" i="1"/>
  <c r="D198" i="1" s="1"/>
  <c r="E198" i="1"/>
  <c r="F195" i="1"/>
  <c r="E195" i="1"/>
  <c r="D195" i="1"/>
  <c r="F193" i="1"/>
  <c r="D193" i="1" s="1"/>
  <c r="E193" i="1"/>
  <c r="F190" i="1"/>
  <c r="E190" i="1"/>
  <c r="D190" i="1"/>
  <c r="F188" i="1"/>
  <c r="E188" i="1"/>
  <c r="F185" i="1"/>
  <c r="D185" i="1" s="1"/>
  <c r="E185" i="1"/>
  <c r="F184" i="1"/>
  <c r="E184" i="1"/>
  <c r="F183" i="1"/>
  <c r="F181" i="1"/>
  <c r="E181" i="1"/>
  <c r="D181" i="1"/>
  <c r="F180" i="1"/>
  <c r="D180" i="1" s="1"/>
  <c r="E180" i="1"/>
  <c r="F177" i="1"/>
  <c r="E177" i="1"/>
  <c r="D177" i="1"/>
  <c r="F176" i="1"/>
  <c r="D176" i="1" s="1"/>
  <c r="E176" i="1"/>
  <c r="F173" i="1"/>
  <c r="D173" i="1" s="1"/>
  <c r="E173" i="1"/>
  <c r="F172" i="1"/>
  <c r="E172" i="1"/>
  <c r="F169" i="1"/>
  <c r="E169" i="1"/>
  <c r="D169" i="1"/>
  <c r="E313" i="1"/>
  <c r="E308" i="1"/>
  <c r="F307" i="1"/>
  <c r="D307" i="1" s="1"/>
  <c r="E307" i="1"/>
  <c r="E299" i="1"/>
  <c r="F298" i="1"/>
  <c r="D298" i="1" s="1"/>
  <c r="F297" i="1"/>
  <c r="D297" i="1" s="1"/>
  <c r="E294" i="1"/>
  <c r="E279" i="1"/>
  <c r="E278" i="1"/>
  <c r="E274" i="1"/>
  <c r="E273" i="1"/>
  <c r="E265" i="1"/>
  <c r="E262" i="1"/>
  <c r="E257" i="1"/>
  <c r="F256" i="1"/>
  <c r="D256" i="1" s="1"/>
  <c r="F255" i="1"/>
  <c r="C168" i="1"/>
  <c r="F164" i="1"/>
  <c r="E164" i="1"/>
  <c r="D164" i="1"/>
  <c r="F163" i="1"/>
  <c r="D163" i="1" s="1"/>
  <c r="E163" i="1"/>
  <c r="F160" i="1"/>
  <c r="E160" i="1"/>
  <c r="D160" i="1"/>
  <c r="F159" i="1"/>
  <c r="D159" i="1" s="1"/>
  <c r="E159" i="1"/>
  <c r="F156" i="1"/>
  <c r="E156" i="1"/>
  <c r="D156" i="1"/>
  <c r="F155" i="1"/>
  <c r="E155" i="1"/>
  <c r="F152" i="1"/>
  <c r="E152" i="1"/>
  <c r="D152" i="1"/>
  <c r="F151" i="1"/>
  <c r="E151" i="1"/>
  <c r="F150" i="1"/>
  <c r="F148" i="1"/>
  <c r="E148" i="1"/>
  <c r="F144" i="1"/>
  <c r="D144" i="1" s="1"/>
  <c r="E144" i="1"/>
  <c r="F143" i="1"/>
  <c r="D143" i="1" s="1"/>
  <c r="E143" i="1"/>
  <c r="F139" i="1"/>
  <c r="E139" i="1"/>
  <c r="F138" i="1"/>
  <c r="E138" i="1"/>
  <c r="F135" i="1"/>
  <c r="E135" i="1"/>
  <c r="D135" i="1"/>
  <c r="F134" i="1"/>
  <c r="E134" i="1"/>
  <c r="F133" i="1"/>
  <c r="F129" i="1"/>
  <c r="D129" i="1" s="1"/>
  <c r="E129" i="1"/>
  <c r="F128" i="1"/>
  <c r="D128" i="1" s="1"/>
  <c r="E128" i="1"/>
  <c r="F124" i="1"/>
  <c r="E124" i="1"/>
  <c r="D124" i="1"/>
  <c r="F123" i="1"/>
  <c r="D123" i="1" s="1"/>
  <c r="E123" i="1"/>
  <c r="F120" i="1"/>
  <c r="D120" i="1" s="1"/>
  <c r="E120" i="1"/>
  <c r="F119" i="1"/>
  <c r="D119" i="1" s="1"/>
  <c r="E119" i="1"/>
  <c r="F115" i="1"/>
  <c r="E115" i="1"/>
  <c r="D115" i="1"/>
  <c r="F114" i="1"/>
  <c r="D114" i="1" s="1"/>
  <c r="E114" i="1"/>
  <c r="F112" i="1"/>
  <c r="F110" i="1"/>
  <c r="D110" i="1" s="1"/>
  <c r="E110" i="1"/>
  <c r="F109" i="1"/>
  <c r="D109" i="1" s="1"/>
  <c r="E109" i="1"/>
  <c r="F101" i="1"/>
  <c r="E101" i="1"/>
  <c r="D101" i="1"/>
  <c r="E100" i="1"/>
  <c r="D98" i="1"/>
  <c r="F97" i="1"/>
  <c r="D97" i="1" s="1"/>
  <c r="E97" i="1"/>
  <c r="F96" i="1"/>
  <c r="D96" i="1" s="1"/>
  <c r="E96" i="1"/>
  <c r="F95" i="1"/>
  <c r="D95" i="1" s="1"/>
  <c r="E94" i="1"/>
  <c r="D94" i="1"/>
  <c r="F93" i="1"/>
  <c r="D93" i="1" s="1"/>
  <c r="E93" i="1"/>
  <c r="E89" i="1"/>
  <c r="F88" i="1"/>
  <c r="D88" i="1" s="1"/>
  <c r="E88" i="1"/>
  <c r="E85" i="1"/>
  <c r="F84" i="1"/>
  <c r="D84" i="1" s="1"/>
  <c r="E84" i="1"/>
  <c r="E81" i="1"/>
  <c r="F331" i="1"/>
  <c r="D331" i="1" s="1"/>
  <c r="E328" i="1"/>
  <c r="F327" i="1"/>
  <c r="D327" i="1" s="1"/>
  <c r="E327" i="1"/>
  <c r="F326" i="1"/>
  <c r="E323" i="1"/>
  <c r="F322" i="1"/>
  <c r="D322" i="1" s="1"/>
  <c r="E322" i="1"/>
  <c r="F318" i="1"/>
  <c r="D318" i="1" s="1"/>
  <c r="E318" i="1"/>
  <c r="F317" i="1"/>
  <c r="D317" i="1" s="1"/>
  <c r="E314" i="1"/>
  <c r="F312" i="1"/>
  <c r="D312" i="1" s="1"/>
  <c r="F306" i="1"/>
  <c r="D306" i="1" s="1"/>
  <c r="C305" i="1"/>
  <c r="E304" i="1"/>
  <c r="F303" i="1"/>
  <c r="D303" i="1" s="1"/>
  <c r="E303" i="1"/>
  <c r="F302" i="1"/>
  <c r="C300" i="1"/>
  <c r="E298" i="1"/>
  <c r="F289" i="1"/>
  <c r="D289" i="1" s="1"/>
  <c r="F278" i="1"/>
  <c r="D278" i="1" s="1"/>
  <c r="F272" i="1"/>
  <c r="D272" i="1" s="1"/>
  <c r="C271" i="1"/>
  <c r="F271" i="1" s="1"/>
  <c r="D271" i="1" s="1"/>
  <c r="E270" i="1"/>
  <c r="F269" i="1"/>
  <c r="D269" i="1" s="1"/>
  <c r="E269" i="1"/>
  <c r="F264" i="1"/>
  <c r="E256" i="1"/>
  <c r="C79" i="1"/>
  <c r="E76" i="1"/>
  <c r="F75" i="1"/>
  <c r="D75" i="1" s="1"/>
  <c r="E75" i="1"/>
  <c r="E72" i="1"/>
  <c r="E67" i="1"/>
  <c r="F66" i="1"/>
  <c r="D66" i="1" s="1"/>
  <c r="E66" i="1"/>
  <c r="E63" i="1"/>
  <c r="F62" i="1"/>
  <c r="D62" i="1" s="1"/>
  <c r="E62" i="1"/>
  <c r="E58" i="1"/>
  <c r="F57" i="1"/>
  <c r="D57" i="1" s="1"/>
  <c r="E57" i="1"/>
  <c r="E54" i="1"/>
  <c r="F53" i="1"/>
  <c r="D53" i="1" s="1"/>
  <c r="E53" i="1"/>
  <c r="E50" i="1"/>
  <c r="F49" i="1"/>
  <c r="D49" i="1" s="1"/>
  <c r="E49" i="1"/>
  <c r="E46" i="1"/>
  <c r="F45" i="1"/>
  <c r="D45" i="1" s="1"/>
  <c r="E45" i="1"/>
  <c r="E38" i="1"/>
  <c r="F37" i="1"/>
  <c r="D37" i="1" s="1"/>
  <c r="E37" i="1"/>
  <c r="E33" i="1"/>
  <c r="F32" i="1"/>
  <c r="D32" i="1" s="1"/>
  <c r="E32" i="1"/>
  <c r="E29" i="1"/>
  <c r="F28" i="1"/>
  <c r="D28" i="1" s="1"/>
  <c r="E28" i="1"/>
  <c r="E25" i="1"/>
  <c r="F24" i="1"/>
  <c r="D24" i="1" s="1"/>
  <c r="E24" i="1"/>
  <c r="E20" i="1"/>
  <c r="F14" i="1"/>
  <c r="D14" i="1" s="1"/>
  <c r="E14" i="1"/>
  <c r="E11" i="1"/>
  <c r="F10" i="1"/>
  <c r="D10" i="1" s="1"/>
  <c r="E10" i="1"/>
  <c r="E7" i="1"/>
  <c r="F6" i="1"/>
  <c r="D6" i="1" s="1"/>
  <c r="E6" i="1"/>
  <c r="E3" i="1"/>
  <c r="E331" i="1"/>
  <c r="F321" i="1"/>
  <c r="E319" i="1"/>
  <c r="F313" i="1"/>
  <c r="D313" i="1" s="1"/>
  <c r="E295" i="1"/>
  <c r="F294" i="1"/>
  <c r="D294" i="1" s="1"/>
  <c r="F293" i="1"/>
  <c r="C292" i="1"/>
  <c r="E291" i="1"/>
  <c r="F290" i="1"/>
  <c r="D290" i="1" s="1"/>
  <c r="E290" i="1"/>
  <c r="E287" i="1"/>
  <c r="F286" i="1"/>
  <c r="D286" i="1" s="1"/>
  <c r="E286" i="1"/>
  <c r="E283" i="1"/>
  <c r="F282" i="1"/>
  <c r="D282" i="1" s="1"/>
  <c r="E282" i="1"/>
  <c r="F281" i="1"/>
  <c r="F277" i="1"/>
  <c r="C275" i="1"/>
  <c r="F273" i="1"/>
  <c r="D273" i="1" s="1"/>
  <c r="C268" i="1"/>
  <c r="C267" i="1"/>
  <c r="E266" i="1"/>
  <c r="F265" i="1"/>
  <c r="D265" i="1" s="1"/>
  <c r="F260" i="1"/>
  <c r="F125" i="1"/>
  <c r="D125" i="1" s="1"/>
  <c r="E125" i="1"/>
  <c r="E137" i="1"/>
  <c r="F137" i="1"/>
  <c r="E158" i="1"/>
  <c r="F158" i="1"/>
  <c r="D158" i="1" s="1"/>
  <c r="F196" i="1"/>
  <c r="E196" i="1"/>
  <c r="D196" i="1"/>
  <c r="F121" i="1"/>
  <c r="D121" i="1" s="1"/>
  <c r="E121" i="1"/>
  <c r="F145" i="1"/>
  <c r="D145" i="1" s="1"/>
  <c r="E145" i="1"/>
  <c r="E154" i="1"/>
  <c r="F154" i="1"/>
  <c r="E175" i="1"/>
  <c r="F175" i="1"/>
  <c r="D175" i="1" s="1"/>
  <c r="F191" i="1"/>
  <c r="E191" i="1"/>
  <c r="D191" i="1"/>
  <c r="F92" i="1"/>
  <c r="E92" i="1"/>
  <c r="E122" i="1"/>
  <c r="F122" i="1"/>
  <c r="F140" i="1"/>
  <c r="E140" i="1"/>
  <c r="D140" i="1"/>
  <c r="F161" i="1"/>
  <c r="E161" i="1"/>
  <c r="D161" i="1"/>
  <c r="E171" i="1"/>
  <c r="F171" i="1"/>
  <c r="D171" i="1" s="1"/>
  <c r="E192" i="1"/>
  <c r="F192" i="1"/>
  <c r="D192" i="1" s="1"/>
  <c r="F206" i="1"/>
  <c r="D206" i="1" s="1"/>
  <c r="E206" i="1"/>
  <c r="F106" i="1"/>
  <c r="E106" i="1"/>
  <c r="D106" i="1"/>
  <c r="E118" i="1"/>
  <c r="F118" i="1"/>
  <c r="D118" i="1" s="1"/>
  <c r="E142" i="1"/>
  <c r="F142" i="1"/>
  <c r="D142" i="1" s="1"/>
  <c r="F157" i="1"/>
  <c r="D157" i="1" s="1"/>
  <c r="E157" i="1"/>
  <c r="F178" i="1"/>
  <c r="D178" i="1" s="1"/>
  <c r="E178" i="1"/>
  <c r="E187" i="1"/>
  <c r="F187" i="1"/>
  <c r="F210" i="1"/>
  <c r="D210" i="1" s="1"/>
  <c r="E210" i="1"/>
  <c r="F174" i="1"/>
  <c r="E174" i="1"/>
  <c r="D174" i="1"/>
  <c r="E4" i="1"/>
  <c r="D5" i="1"/>
  <c r="E8" i="1"/>
  <c r="D9" i="1"/>
  <c r="E12" i="1"/>
  <c r="D13" i="1"/>
  <c r="E21" i="1"/>
  <c r="D23" i="1"/>
  <c r="E26" i="1"/>
  <c r="D27" i="1"/>
  <c r="E30" i="1"/>
  <c r="D31" i="1"/>
  <c r="E34" i="1"/>
  <c r="D36" i="1"/>
  <c r="E39" i="1"/>
  <c r="D40" i="1"/>
  <c r="E43" i="1"/>
  <c r="D44" i="1"/>
  <c r="E47" i="1"/>
  <c r="D48" i="1"/>
  <c r="E51" i="1"/>
  <c r="D52" i="1"/>
  <c r="E55" i="1"/>
  <c r="D56" i="1"/>
  <c r="D61" i="1"/>
  <c r="E64" i="1"/>
  <c r="D65" i="1"/>
  <c r="D69" i="1"/>
  <c r="E73" i="1"/>
  <c r="D74" i="1"/>
  <c r="E77" i="1"/>
  <c r="D78" i="1"/>
  <c r="E82" i="1"/>
  <c r="D83" i="1"/>
  <c r="D87" i="1"/>
  <c r="E98" i="1"/>
  <c r="F99" i="1"/>
  <c r="D99" i="1" s="1"/>
  <c r="D102" i="1"/>
  <c r="E104" i="1"/>
  <c r="F216" i="1"/>
  <c r="D216" i="1" s="1"/>
  <c r="E216" i="1"/>
  <c r="E5" i="1"/>
  <c r="E9" i="1"/>
  <c r="E13" i="1"/>
  <c r="E23" i="1"/>
  <c r="E27" i="1"/>
  <c r="E31" i="1"/>
  <c r="E36" i="1"/>
  <c r="E40" i="1"/>
  <c r="E44" i="1"/>
  <c r="E48" i="1"/>
  <c r="E52" i="1"/>
  <c r="E56" i="1"/>
  <c r="E61" i="1"/>
  <c r="E65" i="1"/>
  <c r="E69" i="1"/>
  <c r="E74" i="1"/>
  <c r="E78" i="1"/>
  <c r="E83" i="1"/>
  <c r="E87" i="1"/>
  <c r="E102" i="1"/>
  <c r="F103" i="1"/>
  <c r="D103" i="1" s="1"/>
  <c r="F212" i="1"/>
  <c r="E212" i="1"/>
  <c r="D212" i="1"/>
  <c r="F232" i="1"/>
  <c r="D232" i="1" s="1"/>
  <c r="E232" i="1"/>
  <c r="D100" i="1"/>
  <c r="E112" i="1"/>
  <c r="F116" i="1"/>
  <c r="D116" i="1" s="1"/>
  <c r="E116" i="1"/>
  <c r="E133" i="1"/>
  <c r="F136" i="1"/>
  <c r="D136" i="1" s="1"/>
  <c r="E136" i="1"/>
  <c r="E150" i="1"/>
  <c r="F153" i="1"/>
  <c r="D153" i="1" s="1"/>
  <c r="E153" i="1"/>
  <c r="F170" i="1"/>
  <c r="D170" i="1" s="1"/>
  <c r="E170" i="1"/>
  <c r="E183" i="1"/>
  <c r="F186" i="1"/>
  <c r="D186" i="1" s="1"/>
  <c r="E186" i="1"/>
  <c r="F228" i="1"/>
  <c r="D228" i="1" s="1"/>
  <c r="E228" i="1"/>
  <c r="D104" i="1"/>
  <c r="F111" i="1"/>
  <c r="D111" i="1" s="1"/>
  <c r="E111" i="1"/>
  <c r="E127" i="1"/>
  <c r="D127" i="1"/>
  <c r="F131" i="1"/>
  <c r="D131" i="1" s="1"/>
  <c r="E131" i="1"/>
  <c r="E146" i="1"/>
  <c r="D146" i="1"/>
  <c r="F149" i="1"/>
  <c r="D149" i="1" s="1"/>
  <c r="E149" i="1"/>
  <c r="E162" i="1"/>
  <c r="D162" i="1"/>
  <c r="E179" i="1"/>
  <c r="D179" i="1"/>
  <c r="F182" i="1"/>
  <c r="D182" i="1" s="1"/>
  <c r="E182" i="1"/>
  <c r="E197" i="1"/>
  <c r="D197" i="1"/>
  <c r="F220" i="1"/>
  <c r="D220" i="1" s="1"/>
  <c r="E220" i="1"/>
  <c r="F224" i="1"/>
  <c r="E224" i="1"/>
  <c r="F240" i="1"/>
  <c r="D240" i="1" s="1"/>
  <c r="E240" i="1"/>
  <c r="F236" i="1"/>
  <c r="D236" i="1" s="1"/>
  <c r="E236" i="1"/>
  <c r="F244" i="1"/>
  <c r="D244" i="1" s="1"/>
  <c r="E244" i="1"/>
  <c r="F223" i="1"/>
  <c r="D223" i="1" s="1"/>
  <c r="E250" i="1"/>
  <c r="E254" i="1"/>
  <c r="E258" i="1"/>
  <c r="D260" i="1"/>
  <c r="E263" i="1"/>
  <c r="E267" i="1"/>
  <c r="E275" i="1"/>
  <c r="D277" i="1"/>
  <c r="E280" i="1"/>
  <c r="D281" i="1"/>
  <c r="E284" i="1"/>
  <c r="E288" i="1"/>
  <c r="E296" i="1"/>
  <c r="E311" i="1"/>
  <c r="E316" i="1"/>
  <c r="E320" i="1"/>
  <c r="E325" i="1"/>
  <c r="E329" i="1"/>
  <c r="E334" i="1"/>
  <c r="F250" i="1"/>
  <c r="F254" i="1"/>
  <c r="D254" i="1" s="1"/>
  <c r="F258" i="1"/>
  <c r="D258" i="1" s="1"/>
  <c r="F263" i="1"/>
  <c r="D263" i="1" s="1"/>
  <c r="F267" i="1"/>
  <c r="F275" i="1"/>
  <c r="D275" i="1" s="1"/>
  <c r="F280" i="1"/>
  <c r="D280" i="1" s="1"/>
  <c r="F284" i="1"/>
  <c r="F288" i="1"/>
  <c r="D288" i="1" s="1"/>
  <c r="F296" i="1"/>
  <c r="D296" i="1" s="1"/>
  <c r="F311" i="1"/>
  <c r="D311" i="1" s="1"/>
  <c r="F316" i="1"/>
  <c r="D316" i="1" s="1"/>
  <c r="F320" i="1"/>
  <c r="F325" i="1"/>
  <c r="D325" i="1" s="1"/>
  <c r="F329" i="1"/>
  <c r="D329" i="1" s="1"/>
  <c r="F334" i="1"/>
  <c r="D334" i="1" s="1"/>
  <c r="F261" i="1" l="1"/>
  <c r="D261" i="1" s="1"/>
  <c r="E261" i="1"/>
  <c r="F68" i="1"/>
  <c r="D68" i="1" s="1"/>
  <c r="E68" i="1"/>
  <c r="E330" i="1"/>
  <c r="F330" i="1"/>
  <c r="D330" i="1" s="1"/>
  <c r="E285" i="1"/>
  <c r="F285" i="1"/>
  <c r="D285" i="1"/>
  <c r="E225" i="1"/>
  <c r="D225" i="1"/>
  <c r="E221" i="1"/>
  <c r="D221" i="1"/>
  <c r="F107" i="1"/>
  <c r="E107" i="1"/>
  <c r="D107" i="1"/>
  <c r="F105" i="1"/>
  <c r="E105" i="1"/>
  <c r="D105" i="1"/>
  <c r="F60" i="1"/>
  <c r="D60" i="1" s="1"/>
  <c r="E60" i="1"/>
  <c r="E305" i="1"/>
  <c r="F305" i="1"/>
  <c r="D305" i="1" s="1"/>
  <c r="E300" i="1"/>
  <c r="F300" i="1"/>
  <c r="D300" i="1" s="1"/>
  <c r="D326" i="1"/>
  <c r="D302" i="1"/>
  <c r="D255" i="1"/>
  <c r="D245" i="1"/>
  <c r="E203" i="1"/>
  <c r="D203" i="1"/>
  <c r="D207" i="1"/>
  <c r="D211" i="1"/>
  <c r="D213" i="1"/>
  <c r="D217" i="1"/>
  <c r="D209" i="1"/>
  <c r="F201" i="1"/>
  <c r="E201" i="1"/>
  <c r="D172" i="1"/>
  <c r="D188" i="1"/>
  <c r="E167" i="1"/>
  <c r="D183" i="1"/>
  <c r="F166" i="1"/>
  <c r="E166" i="1"/>
  <c r="D148" i="1"/>
  <c r="F147" i="1"/>
  <c r="D147" i="1" s="1"/>
  <c r="E147" i="1"/>
  <c r="D155" i="1"/>
  <c r="D151" i="1"/>
  <c r="D138" i="1"/>
  <c r="D134" i="1"/>
  <c r="D139" i="1"/>
  <c r="E90" i="1"/>
  <c r="F70" i="1"/>
  <c r="D70" i="1" s="1"/>
  <c r="E70" i="1"/>
  <c r="F41" i="1"/>
  <c r="D41" i="1" s="1"/>
  <c r="E41" i="1"/>
  <c r="E168" i="1"/>
  <c r="F168" i="1"/>
  <c r="D168" i="1" s="1"/>
  <c r="E79" i="1"/>
  <c r="F79" i="1"/>
  <c r="D79" i="1" s="1"/>
  <c r="F268" i="1"/>
  <c r="D268" i="1" s="1"/>
  <c r="E268" i="1"/>
  <c r="D137" i="1"/>
  <c r="D154" i="1"/>
  <c r="D92" i="1"/>
  <c r="D122" i="1"/>
  <c r="D187" i="1"/>
  <c r="D184" i="1"/>
  <c r="D204" i="1"/>
  <c r="D112" i="1"/>
  <c r="D133" i="1"/>
  <c r="D150" i="1"/>
  <c r="D167" i="1"/>
  <c r="D224" i="1"/>
  <c r="D250" i="1"/>
  <c r="D267" i="1"/>
  <c r="D284" i="1"/>
  <c r="D320" i="1"/>
  <c r="D264" i="1"/>
  <c r="E271" i="1"/>
  <c r="E292" i="1"/>
  <c r="D293" i="1"/>
  <c r="D321" i="1"/>
  <c r="F292" i="1"/>
  <c r="D292" i="1" s="1"/>
  <c r="D201" i="1" l="1"/>
  <c r="D166" i="1"/>
</calcChain>
</file>

<file path=xl/sharedStrings.xml><?xml version="1.0" encoding="utf-8"?>
<sst xmlns="http://schemas.openxmlformats.org/spreadsheetml/2006/main" count="645" uniqueCount="645">
  <si>
    <t>REFERENCIA</t>
  </si>
  <si>
    <t>DESCRIPCION</t>
  </si>
  <si>
    <t>PRECIO INSTALLER (CON IVA)</t>
  </si>
  <si>
    <t>PRECIO TIENDA (CON IVA)</t>
  </si>
  <si>
    <t>PRECIO CLIENTE FINAL (CON IVA)</t>
  </si>
  <si>
    <t>UTILIDAD</t>
  </si>
  <si>
    <t>IVA INC</t>
  </si>
  <si>
    <t>Columna3</t>
  </si>
  <si>
    <t>Columna4</t>
  </si>
  <si>
    <t>COSTO</t>
  </si>
  <si>
    <t>1. VARIADORES DE FRECUENCIA.</t>
  </si>
  <si>
    <t>VFD-7724</t>
  </si>
  <si>
    <t>NRPC1000-7312</t>
  </si>
  <si>
    <t>REGULADOR ELECTRONICO DE VOLTAJE REF. PROPC1000</t>
  </si>
  <si>
    <t>NRP2200-7313</t>
  </si>
  <si>
    <t>REGULADOR DE VOLTAJE POWEST 2200 VA</t>
  </si>
  <si>
    <t>3. PROTECTORES DE VOLTAJE.</t>
  </si>
  <si>
    <t>NMNET-7259</t>
  </si>
  <si>
    <t>SUPRESOR DE PICOS DE 8 SALIDAS REF.MULTINET 8T</t>
  </si>
  <si>
    <t>NPRMUL-7256</t>
  </si>
  <si>
    <t>MULTIPRO MULTITOMA 6 SALIDAS REF.MULTIPRO 6T</t>
  </si>
  <si>
    <t>NMNET-7514</t>
  </si>
  <si>
    <t>SUPRESOR DE PICOS BLANCO DE 4 SALIDAS REF.MULTINET 4TB</t>
  </si>
  <si>
    <t>NMNET-7516</t>
  </si>
  <si>
    <t>SUPRESOR DE PICOS BLANCO DE 6 SALIDAS REF.MULTINET 6TB</t>
  </si>
  <si>
    <t>NMNET-7549</t>
  </si>
  <si>
    <t>SUPRESOR DE PICOS NEGRO DE 4 SALIDAS REF.MULTINET 4TN</t>
  </si>
  <si>
    <t>NMNET-7550</t>
  </si>
  <si>
    <t>SUPRESOR DE PICOS NEGRO DE 6 SALIDAS REF.MULTINET 6TN</t>
  </si>
  <si>
    <t>NPRREF-7281</t>
  </si>
  <si>
    <t>PROTECTOR VOLTAJE 120V REF. REFRIMATIC</t>
  </si>
  <si>
    <t>NPRMUL-7280</t>
  </si>
  <si>
    <t>PROTECTOR VOLTAJE120V REF.MULTIMATIC120</t>
  </si>
  <si>
    <t>NPRLAV-7258</t>
  </si>
  <si>
    <t>PROTECTOR DE VOLTAJE 120V REF.LAVOMATIC</t>
  </si>
  <si>
    <t>NPRAIR-7250</t>
  </si>
  <si>
    <t>PROTECTOR VOLTAJE 120V REF.AIRMATIC</t>
  </si>
  <si>
    <t>NPRAIR-7252</t>
  </si>
  <si>
    <t>PROTECTOR VOLTAJE 220V/20A REF. AIRMATIC</t>
  </si>
  <si>
    <t>NRPRO-7462</t>
  </si>
  <si>
    <t>COMBO PROTECTORES REFRIMATIC + MULTIMATIC</t>
  </si>
  <si>
    <t>4. UPS INTERACTIVAS MICRONET</t>
  </si>
  <si>
    <t>NUIMN-7279</t>
  </si>
  <si>
    <t>UPS POWEST INTERACTIVA 625VA</t>
  </si>
  <si>
    <t>NUIMN-7268</t>
  </si>
  <si>
    <t>NUIMN-7269</t>
  </si>
  <si>
    <t>UPS INTERACTIVA750VA REF. MICRONET750</t>
  </si>
  <si>
    <t>NUIMN-7282</t>
  </si>
  <si>
    <t>UPS POWEST INTERACTIVA 1250VA</t>
  </si>
  <si>
    <t>NUIMN-7287</t>
  </si>
  <si>
    <t>UPS POWEST INTERACTIVA 2200VA</t>
  </si>
  <si>
    <t>NUIMN-7278</t>
  </si>
  <si>
    <t>UPS INTERACTIVA 3000VA REF.MICRONET3000</t>
  </si>
  <si>
    <t>5. UPS ON LINE INCLUYE BATERIAS (AUTONOMIA). POWEST</t>
  </si>
  <si>
    <t>NUOLT-7292</t>
  </si>
  <si>
    <t>UPS ON LINE 1000VA REF POWEST 1KVA</t>
  </si>
  <si>
    <t>NUOLT-7652</t>
  </si>
  <si>
    <t>UPS ON LINE 1KVA REF.POWEST 1KVA 220</t>
  </si>
  <si>
    <t>NUOLT-7456</t>
  </si>
  <si>
    <t>UPS ON LINE 1KVA REF.POWEST 1KVA RACK</t>
  </si>
  <si>
    <t>NUOLT-7401</t>
  </si>
  <si>
    <t>UPS ONLINE POWEST WINNER 1KVA</t>
  </si>
  <si>
    <t>NUOLT-7306</t>
  </si>
  <si>
    <t>UPS ON LINE 2KVA REF.POWEST 2KVA</t>
  </si>
  <si>
    <t>NUOLT-7402</t>
  </si>
  <si>
    <t>UPS ONLINE POWEST WINNER 2KVA</t>
  </si>
  <si>
    <t>NUOLT-7283</t>
  </si>
  <si>
    <t>UPS ON LINE 3KVA REF.POWEST 3KVA</t>
  </si>
  <si>
    <t>NUOLT-7406</t>
  </si>
  <si>
    <t>UPS ON LINE 3KVA REF.POWEST 3KVA 220</t>
  </si>
  <si>
    <t>NUOLT-7380</t>
  </si>
  <si>
    <t>UPS ON LINE 3KVA REF.POWEST 3KVA RACK</t>
  </si>
  <si>
    <t>NUOLT-7403</t>
  </si>
  <si>
    <t>UPS ONLINE POWEST WINNER 3KVA</t>
  </si>
  <si>
    <t>NUOLT-7284</t>
  </si>
  <si>
    <t>UPS ON LINE 6KVA REF.POWEST 6KVA</t>
  </si>
  <si>
    <t>NUOLT-7381</t>
  </si>
  <si>
    <t>UPS ON LINE 6KVA REF.POWEST 6KVA RACK</t>
  </si>
  <si>
    <t>NUOLT-7404</t>
  </si>
  <si>
    <t>UPS ONLINE POWEST WINNER 6KVA</t>
  </si>
  <si>
    <t>NUOLT-7286</t>
  </si>
  <si>
    <t>UPS ON LINE 10KVA REF.POWEST 10KVA</t>
  </si>
  <si>
    <t>NUOLT-7389</t>
  </si>
  <si>
    <t>UPS ON LINE 10KVA REF.POWEST 10KVA RACK</t>
  </si>
  <si>
    <t>NUOLT-7405</t>
  </si>
  <si>
    <t>UPS ONLINE POWEST WINNER 10KVA</t>
  </si>
  <si>
    <t>6. BANCO BATERIAS UPS ONLINE ADICIONALES PARA UPS MONO Y BIFASICAS</t>
  </si>
  <si>
    <t>CEBBAT-729214</t>
  </si>
  <si>
    <t>BANCO BATERIAS POWEST 1KVA (14 MIN incluido banco interno de la UPS)</t>
  </si>
  <si>
    <t>CEBBAT-730614</t>
  </si>
  <si>
    <t>BANCO BATERIAS POWEST 2KVA (14 MIN incluido banco interno de la UPS)</t>
  </si>
  <si>
    <t>CEBBAT-728314</t>
  </si>
  <si>
    <t>BANCO BATERIAS POWEST 3KVA (14 MIN incluido banco interno de la UPS)</t>
  </si>
  <si>
    <t>BBKIT-7610</t>
  </si>
  <si>
    <t>KIT DE BATERIAS UPS 6KVA BIFASICA</t>
  </si>
  <si>
    <t>BBCHAS-7610</t>
  </si>
  <si>
    <t>CHASIS EXTERNO PARA BANCO DE BATERIAS UPS 6 y 10 KVA BIFASICA</t>
  </si>
  <si>
    <t>BBKIT-7611</t>
  </si>
  <si>
    <t>KIT DE BATERIAS UPS 10KVA BIFASICA</t>
  </si>
  <si>
    <t>BBKIT-7612</t>
  </si>
  <si>
    <t>KIT DE BATERIAS UPS 1KVA RACK</t>
  </si>
  <si>
    <t>BBCHAS-7612</t>
  </si>
  <si>
    <t>CHASIS EXTERNO PARA BANCO DE BATERIAS UPS 1 y 3 KVA RACK</t>
  </si>
  <si>
    <t>BBKIT-7613</t>
  </si>
  <si>
    <t>KIT DE BATERIAS UPS 3KVA RACK</t>
  </si>
  <si>
    <t>BBKIT-7614</t>
  </si>
  <si>
    <t>KIT DE BATERIAS UPS 6 y 10 KVA RACK</t>
  </si>
  <si>
    <t>BBCHAS-7614</t>
  </si>
  <si>
    <t>CHASIS EXTERNO PARA BANCO DE BATERIAS UPS 6 y 10 KVA RACK</t>
  </si>
  <si>
    <t>7. ACCESORIOS UPS ONLINE TIPO TORRE</t>
  </si>
  <si>
    <t>CECABA-7293</t>
  </si>
  <si>
    <t>CABLE DE CONEXION BANCO DE BATERIAS 1KVA - 3KVA</t>
  </si>
  <si>
    <t>CECABA-7283</t>
  </si>
  <si>
    <t>CABLE DE CONEXION BANCO DE BATERIAS 2-3 KVA</t>
  </si>
  <si>
    <t>CECABA-7286</t>
  </si>
  <si>
    <t>CABLE DE CONEXION BANCO DE BATERIAS 6-10KVA</t>
  </si>
  <si>
    <t>RCAB-9079</t>
  </si>
  <si>
    <t>CABLE CONEXIÓN PARALELO UPS BIFÁSICAS</t>
  </si>
  <si>
    <t>ACCSNMP-9059</t>
  </si>
  <si>
    <t>SNMP SOFTWARE Y TARJETA REF. SNMP ON LINE</t>
  </si>
  <si>
    <t>ACCCAR-7283</t>
  </si>
  <si>
    <t>KIT CARGADOR ADICIONAL 4A POWEST  2-3KVA TIPO TORRE</t>
  </si>
  <si>
    <t>ACCCAR-7286</t>
  </si>
  <si>
    <t>KIT CARGADOR ADICIONAL 4A POWEST  6-10KVA TIPO TORRE</t>
  </si>
  <si>
    <t>ACCSNMP-9459</t>
  </si>
  <si>
    <t>SNMP UPS RACK 3, 6 Y 10 KVA</t>
  </si>
  <si>
    <t>8. TRANSFORMADORES DE AISLAMIENTO</t>
  </si>
  <si>
    <t>CEELTRA-2260</t>
  </si>
  <si>
    <t>TRANSFORMADOR DE AISLAMIENTO 1KVA MONOFÁSICO</t>
  </si>
  <si>
    <t>CEELTRA-2272</t>
  </si>
  <si>
    <t>TRANSFORMADOR DE AISLAMIENTO 2KVA MONOFÁSICO C</t>
  </si>
  <si>
    <t>CEELTRA-2259</t>
  </si>
  <si>
    <t>TRANSFORMADOR DE AISLAMIENTO 3KVA MONOFÁSICO</t>
  </si>
  <si>
    <t>CEELTRA-2273</t>
  </si>
  <si>
    <t>TRANSFORMADOR DE AISLAMIENTO DE 6KVA BIF. RACK</t>
  </si>
  <si>
    <t>CEELTRA-2274</t>
  </si>
  <si>
    <t>TRANSFORMADOR DE AISLAMIENTO DE 10KVA BIF. RACK</t>
  </si>
  <si>
    <t>9. UPS ON LINE TRIFASICAS EA SIN BATERIAS POWEST</t>
  </si>
  <si>
    <t>NUOLT-7647</t>
  </si>
  <si>
    <t>UPS POWEST EA9940 40KVA</t>
  </si>
  <si>
    <t>NUOLT-7581</t>
  </si>
  <si>
    <t>UPS POWEST EA9960 60KVA</t>
  </si>
  <si>
    <t>NUOLT-7648</t>
  </si>
  <si>
    <t>UPS POWEST EA9980 80KVA</t>
  </si>
  <si>
    <t>NUOLT-7665</t>
  </si>
  <si>
    <t>POWEST EA99100 100KVA</t>
  </si>
  <si>
    <t>10. BANCO BATERIAS UPS TRIFÁSICA POWEST EA</t>
  </si>
  <si>
    <t>CEBBAT-764705</t>
  </si>
  <si>
    <t>BANCO BATERIAS (5MN) 40KVA EA REF.BBTITAN EA9940</t>
  </si>
  <si>
    <t>CEBBAT-764710</t>
  </si>
  <si>
    <t>BANCO BATERIAS (10MN) 40KVA EA REF.BBTITAN EA9940</t>
  </si>
  <si>
    <t>CEBBAT-764715</t>
  </si>
  <si>
    <t>BANCO BATERIAS (15MN) 40KVA EA REF.BBTITAN EA9940</t>
  </si>
  <si>
    <t>CEBBAT-764730</t>
  </si>
  <si>
    <t>BANCO BATERIAS (30MN) 40KVA EA REF.BBTITAN EA9940</t>
  </si>
  <si>
    <t>CEBBAT-758105</t>
  </si>
  <si>
    <t>BANCO BATERIAS (5MN) 60KVA EA REF.BBTITAN EA9960</t>
  </si>
  <si>
    <t>CEBBAT-758110</t>
  </si>
  <si>
    <t>BANCO BATERIAS (10MN) 60KVA EA REF.BBTITAN EA9960</t>
  </si>
  <si>
    <t>CEBBAT-758115</t>
  </si>
  <si>
    <t>BANCO BATERIAS (15MN) 60KVA EA REF.BBTITAN EA9960</t>
  </si>
  <si>
    <t>CEBBAT-758130</t>
  </si>
  <si>
    <t>BANCO BATERIAS (30MN) 60KVA EA REF.BBTITAN EA9960</t>
  </si>
  <si>
    <t>CEBBAT-764805</t>
  </si>
  <si>
    <t>BANCO BATERIAS (5MN) REF.BB TITAN EA9980 INTERNO</t>
  </si>
  <si>
    <t>CEBBAT-764810</t>
  </si>
  <si>
    <t>BANCO BATERIAS (10MN) REF.BB TITAN EA9980 EXTERNO</t>
  </si>
  <si>
    <t>CEBBAT-764815</t>
  </si>
  <si>
    <t>BANCO BATERIAS (15MN) REF.BB TITAN EA9980 EXTERNO</t>
  </si>
  <si>
    <t>CEBBAT-764830</t>
  </si>
  <si>
    <t>BANCO BATERIAS (30MN) 80KVA EA REF.BBTITAN EA9980</t>
  </si>
  <si>
    <t>CEBBAT-766505</t>
  </si>
  <si>
    <t>BANCO BATERIAS (5MN) REF.BB TITAN EA99100 EXTERNO</t>
  </si>
  <si>
    <t>CEBBAT-766510</t>
  </si>
  <si>
    <t>BANCO BATERIAS (10MN) REF.BB TITAN EA99100 EXTERNO</t>
  </si>
  <si>
    <t>CEBBAT-766515</t>
  </si>
  <si>
    <t>BANCO BATERIAS (15MN) REF.BB TITAN EA99100 EXTERNO</t>
  </si>
  <si>
    <t>CEBBAT-766530</t>
  </si>
  <si>
    <t>BANCO BATERIAS (30MN) REF.BB TITAN EA99100 EXTERNO</t>
  </si>
  <si>
    <t>12. UPS ON LINE TRIFASICAS POWEST EA + BATERIAS INTERNAS</t>
  </si>
  <si>
    <t>NUOLT-7571</t>
  </si>
  <si>
    <t>UPS POWEST EA9910 UL 10 KVA + BANCO DE BATERIAS</t>
  </si>
  <si>
    <t>NUOLT-7572</t>
  </si>
  <si>
    <t>UPS POWEST EA9915 UL 15 KVA + BANCO DE BATERIAS</t>
  </si>
  <si>
    <t>NUOLT-7573</t>
  </si>
  <si>
    <t>UPS POWEST EA9920 UL 20 KVA + BANCO DE BATERIAS</t>
  </si>
  <si>
    <t>NUOLT-7580</t>
  </si>
  <si>
    <t>UPS POWEST EA9930 30 KVA + BANCO DE BATERIAS</t>
  </si>
  <si>
    <t>13. KIT DE AUTONOMÍA PARA UPS TRIFÁSICA POWEST UL</t>
  </si>
  <si>
    <t>BBKIT-7570</t>
  </si>
  <si>
    <t>KIT DE BATERIAS UPS 10 - 15 - 20 KVA UL</t>
  </si>
  <si>
    <t>BBCHAS-7570</t>
  </si>
  <si>
    <t>CHASIS EXTERNO PARA BANCO DE BATERIAS UPS 10 - 15 - 20 KVA UL</t>
  </si>
  <si>
    <t>BBCHAS-7580</t>
  </si>
  <si>
    <t>CHASIS EXTERNO PARA BANCO DE BATERIAS UPS 30 KVA</t>
  </si>
  <si>
    <t>15. TRANSFORMADORES DE AISLAMIENTO POWEST EA</t>
  </si>
  <si>
    <t>CEELTRA-7576</t>
  </si>
  <si>
    <t>TRANSFORMADOR DE AISLAMIENTO DE 10KVA 208/120 Y - Y</t>
  </si>
  <si>
    <t>CEELTRA-7577</t>
  </si>
  <si>
    <t>TRANSFORMADOR DE AISLAMIENTO DE 15KVA 208/120 Y - Y</t>
  </si>
  <si>
    <t>CEELTRA-7578</t>
  </si>
  <si>
    <t>TRANSFORMADOR DE AISLAMIENTO DE 20KVA 208/120 Y - Y</t>
  </si>
  <si>
    <t>CEELTRA-7579</t>
  </si>
  <si>
    <t>TRANSFORMADOR DE AISLAMIENTO DE 30KVA 208/120 Y - Y</t>
  </si>
  <si>
    <t>CEELTRA-7580</t>
  </si>
  <si>
    <t>TRANSFORMADOR DE AISLAMIENTO DE 40KVA 208/120 Y - Y</t>
  </si>
  <si>
    <t>CEELTRA-7581</t>
  </si>
  <si>
    <t>TRANSFORMADOR DE AISLAMIENTO DE 60KVA 208/120 Y - Y</t>
  </si>
  <si>
    <t>CEELTRA-7582</t>
  </si>
  <si>
    <t>TRANSFORMADOR DE AISLAMIENTO DE 80KVA 208/120 Y - Y</t>
  </si>
  <si>
    <t>CEELTRA-7583</t>
  </si>
  <si>
    <t>TRANSFORMADOR DE AISLAMIENTO DE 100KVA 208/120 Y - Y</t>
  </si>
  <si>
    <t>15.1 TRANSFORMADORES DE AISLAMIENTO POWEST EA + CHASIS UL</t>
  </si>
  <si>
    <t>CEELTRA-7573</t>
  </si>
  <si>
    <t>TRANSFORMADOR DE AISLAMIENTO DE 10KVA 208/120 Y - Y + CHASIS UL</t>
  </si>
  <si>
    <t>CEELTRA-7574</t>
  </si>
  <si>
    <t>TRANSFORMADOR DE AISLAMIENTO DE 15KVA 208/120 Y - Y + CHASIS UL</t>
  </si>
  <si>
    <t>CEELTRA-7575</t>
  </si>
  <si>
    <t>TRANSFORMADOR DE AISLAMIENTO DE 20KVA 208/120 Y - Y + CHASIS UL</t>
  </si>
  <si>
    <t>16. UPS ON LINE TRIFASICAS POWEST RM SISTEMA Y GABINETES POWEST</t>
  </si>
  <si>
    <t>NUOLT-7398</t>
  </si>
  <si>
    <t>MODULO 10KVA UPS ON LINE MODULAR REF.POWEST  RM9910</t>
  </si>
  <si>
    <t>17. UPS ON LINE TRIFASICAS POWEST IN/OUT 380/400/415 VAC</t>
  </si>
  <si>
    <t>NUOLT-7666</t>
  </si>
  <si>
    <t>UPS POWEST HV3360 60KVA IN/OUT 380/400/415 VAC</t>
  </si>
  <si>
    <t>NUOLT-7674</t>
  </si>
  <si>
    <t>UPS POWEST HV3380 80KVA IN/OUT 380/400/415 VAC</t>
  </si>
  <si>
    <t>NUOLT-7675</t>
  </si>
  <si>
    <t>UPS POWEST HV33100 100KVA IN/OUT 380/400/415 VAC</t>
  </si>
  <si>
    <t>NUOLT-7667</t>
  </si>
  <si>
    <t>UPS POWEST HV33120 120KVA IN/OUT 380/400/415 VAC</t>
  </si>
  <si>
    <t>NUOLT-7668</t>
  </si>
  <si>
    <t>UPS POWEST HV33160 160KVA IN/OUT 380/400/415 VAC</t>
  </si>
  <si>
    <t>NUOLT-7671</t>
  </si>
  <si>
    <t>UPS POWEST HV33200 200KVA IN/OUT 380/400/415 VAC</t>
  </si>
  <si>
    <t>NUOLT-7672</t>
  </si>
  <si>
    <t>UPS POWEST HV33250 250KVA IN/OUT 380/400/415 VAC</t>
  </si>
  <si>
    <t>NUOLT-7673</t>
  </si>
  <si>
    <t>UPS POWEST HV33300 300KVA IN/OUT 380/400/415 VAC</t>
  </si>
  <si>
    <t>18. BANCO BATERIAS UPS ON LINE TRIFASICAS POWEST IN/OUT 380/400/415 VAC</t>
  </si>
  <si>
    <t>CEBBAT-766605</t>
  </si>
  <si>
    <t>BANCO BATERÍAS (5min) REF.POWEST HV3360 EXTERNO</t>
  </si>
  <si>
    <t>CEBBAT-766610</t>
  </si>
  <si>
    <t>BANCO BATERÍAS (10min) REF.POWEST HV3360 EXTERNO</t>
  </si>
  <si>
    <t>CEBBAT-766615</t>
  </si>
  <si>
    <t>BANCO BATERÍAS (15min) REF.POWEST HV3360 EXTERNO</t>
  </si>
  <si>
    <t>CEBBAT-766630</t>
  </si>
  <si>
    <t>BANCO BATERÍAS (30min) REF.POWEST HV3360 EXTERNO</t>
  </si>
  <si>
    <t>CEBBAT-767405</t>
  </si>
  <si>
    <t>BANCO BATERÍAS (5min) REF.POWEST HV3380 EXTERNO</t>
  </si>
  <si>
    <t>CEBBAT-767410</t>
  </si>
  <si>
    <t>BANCO BATERÍAS (10min) REF.POWEST HV3380 EXTERNO</t>
  </si>
  <si>
    <t>CEBBAT-767415</t>
  </si>
  <si>
    <t>BANCO BATERÍAS (15min) REF.POWEST HV3380 EXTERNO</t>
  </si>
  <si>
    <t>CEBBAT-767428</t>
  </si>
  <si>
    <t>BANCO BATERÍAS (28min) REF.POWEST HV3380 EXTERNO</t>
  </si>
  <si>
    <t>CEBBAT-767505</t>
  </si>
  <si>
    <t>BANCO BATERÍAS (5min) REF.POWEST HV33100 EXTERNO</t>
  </si>
  <si>
    <t>CEBBAT-767510</t>
  </si>
  <si>
    <t>BANCO BATERÍAS (10min) REF.POWEST HV33100 EXTERNO</t>
  </si>
  <si>
    <t>CEBBAT-767515</t>
  </si>
  <si>
    <t>BANCO BATERÍAS (15min) REF.POWEST HV33100 EXTERNO</t>
  </si>
  <si>
    <t>CEBBAT-767528</t>
  </si>
  <si>
    <t>BANCO BATERÍAS (28min) REF.POWEST HV33100 EXTERNO</t>
  </si>
  <si>
    <t>CEBBAT-766705</t>
  </si>
  <si>
    <t>BANCO BATERÍAS (5min) REF.POWEST HV33120 EXTERNO</t>
  </si>
  <si>
    <t>CEBBAT-766710</t>
  </si>
  <si>
    <t>BANCO BATERÍAS (10min) REF.POWEST HV33120 EXTERNO</t>
  </si>
  <si>
    <t>CEBBAT-766715</t>
  </si>
  <si>
    <t>BANCO BATERÍAS (15min) REF.POWEST HV33120 EXTERNO</t>
  </si>
  <si>
    <t>CEBBAT-766728</t>
  </si>
  <si>
    <t>BANCO BATERÍAS (28min) REF.POWEST HV33120 EXTERNO</t>
  </si>
  <si>
    <t>CEBBAT-766805</t>
  </si>
  <si>
    <t>BANCO BATERÍAS (5min) REF.POWEST HV33160 EXTERNO</t>
  </si>
  <si>
    <t>CEBBAT-766810</t>
  </si>
  <si>
    <t>BANCO BATERÍAS (10min) REF.POWEST HV33160 EXTERNO</t>
  </si>
  <si>
    <t>CEBBAT-766815</t>
  </si>
  <si>
    <t>BANCO BATERÍAS (15min) REF.POWEST HV33160 EXTERNO</t>
  </si>
  <si>
    <t>CEBBAT-767104</t>
  </si>
  <si>
    <t>BANCO BATERÍAS (4min) REF. POWEST HV33200 EXTERNO</t>
  </si>
  <si>
    <t>CEBBAT-767110</t>
  </si>
  <si>
    <t>BANCO BATERÍAS (10min) REF. POWEST HV33200 EXTERNO</t>
  </si>
  <si>
    <t>CEBBAT-767205</t>
  </si>
  <si>
    <t>BANCO BATERÍAS (5min) REF. POWEST HV33250 EXTERNO</t>
  </si>
  <si>
    <t>CEBBAT-767305</t>
  </si>
  <si>
    <t>BANCO BATERÍAS (5min) REF. POWEST HV33300 EXTERNO</t>
  </si>
  <si>
    <t>19.  BATERIAS  FULI BATTERY SELLADAS LIBRES DE MANTENIMIENTO</t>
  </si>
  <si>
    <t>CEBAT-7566</t>
  </si>
  <si>
    <t>BATERIA SELLADA 4V-4AH REF. FL440GS</t>
  </si>
  <si>
    <t>CEBAT-7239</t>
  </si>
  <si>
    <t>BATERIA SELLADA 6V-1.2AH REF. FL612GS</t>
  </si>
  <si>
    <t>CEBAT-7201</t>
  </si>
  <si>
    <t>BATERIA SELLADA 6V-4AH REF. FL640GS</t>
  </si>
  <si>
    <t>CEBAT-7567</t>
  </si>
  <si>
    <t>BATERIA SELLADA 6V-7AH REF. FL670GS</t>
  </si>
  <si>
    <t>CEBAT-7243</t>
  </si>
  <si>
    <t>BATERIA SELLADA 6V-12AH REF. FL6120GS</t>
  </si>
  <si>
    <t>CEBAT-7244</t>
  </si>
  <si>
    <t>BATERIA SELLADA 12V-2.3AH REF. FL1223GS</t>
  </si>
  <si>
    <t>CEBAT-7568</t>
  </si>
  <si>
    <t>BATERIA SELLADA 12V-4AH REF. FL1240GS</t>
  </si>
  <si>
    <t>CEBAT-7202</t>
  </si>
  <si>
    <t>BATERIA SELLADA 12V-5AH REF. FL1250GS</t>
  </si>
  <si>
    <t>CEBAT-7203</t>
  </si>
  <si>
    <t>BATERIA SELLADA 12V-7.5AH REF. FL1275GS</t>
  </si>
  <si>
    <t>CEBAT-7207</t>
  </si>
  <si>
    <t>BATERIA SELLADA 12V-9AH REF. FL1290GS</t>
  </si>
  <si>
    <t>CEBAT-7227</t>
  </si>
  <si>
    <t>BATERIA SELLADA 12V-12AH REF. FL12120GS</t>
  </si>
  <si>
    <t>CEBAT-7208</t>
  </si>
  <si>
    <t>BATERIA SELLADA 12V-18AH REF. FL12180GS</t>
  </si>
  <si>
    <t>CEBAT-7223</t>
  </si>
  <si>
    <t>BATERIA SELLADA 12V-26AH REF. FL12260GS</t>
  </si>
  <si>
    <t>CEBAT-7214</t>
  </si>
  <si>
    <t>BATERIA SELLADA 12V-35AH REF. FL12350GS</t>
  </si>
  <si>
    <t>CEBAT-7216</t>
  </si>
  <si>
    <t>BATERIA SELLADA 12V-40AH REF. FL12400GS</t>
  </si>
  <si>
    <t>CEBAT-7224</t>
  </si>
  <si>
    <t>BATERIA SELLADA 12V-55AH REF. FL12550GS</t>
  </si>
  <si>
    <t>CEBAT-7230</t>
  </si>
  <si>
    <t>BATERIA SELLADA 12V-65AH REF. FL12650GS</t>
  </si>
  <si>
    <t>CEBAT-7225</t>
  </si>
  <si>
    <t>BATERIA SELLADA 12V-80AH REF. FL12800GS</t>
  </si>
  <si>
    <t>CEBAT-7219</t>
  </si>
  <si>
    <t>BATERIA SELLADA 12V-90AH REF.FL12900GS</t>
  </si>
  <si>
    <t>CEBAT-7226</t>
  </si>
  <si>
    <t>BATERIA SELLADA 12V-100AH REF. FL121000GS</t>
  </si>
  <si>
    <t>CEBAT-7234</t>
  </si>
  <si>
    <t>BATERIA SELLADA 12V-120AH REF. FL121200GS</t>
  </si>
  <si>
    <t>CEBAT-7228</t>
  </si>
  <si>
    <t>BATERIA SELLADA 12V-150AH REF. FL121500GS</t>
  </si>
  <si>
    <t>CEBAT-7229</t>
  </si>
  <si>
    <t>BATERIA SELLADA 12V-200AH REF. FL122000GS</t>
  </si>
  <si>
    <t>19.1. BATERIA GEL CICLO PROFUNDO FULI BATTERY SELLADAS LIBRES DE MANTENIMIENTO</t>
  </si>
  <si>
    <t>CEBAT-7626</t>
  </si>
  <si>
    <t>BATERIA GEL CICLO PROFUNDO -12v 100Ah REF. FLS121000 DC</t>
  </si>
  <si>
    <t>CEBAT-7628</t>
  </si>
  <si>
    <t>BATERIA GEL CICLO PROFUNDO -12v 150Ah REF. FLS121500 DC</t>
  </si>
  <si>
    <t>CEBAT-7629</t>
  </si>
  <si>
    <t>BATERIA GEL CICLO PROFUNDO -12v 200Ah REF. FLS122000 DC</t>
  </si>
  <si>
    <t>CEBAT-7631</t>
  </si>
  <si>
    <t>BATERIA GEL CICLO PROFUNDO -12v 250Ah REF. FLS122500 DC</t>
  </si>
  <si>
    <t>19.2. BATERIA PLOMO CARBONO FULI BATTERY SELLADAS LIBRES DE MANTENIMIENTO</t>
  </si>
  <si>
    <t>CEBAT-7271</t>
  </si>
  <si>
    <t>BATERIA PLOMO CARBONO 12V-100AH</t>
  </si>
  <si>
    <t>CEBAT-7272</t>
  </si>
  <si>
    <t>BATERIA PLOMO CARBONO 12V-150AH</t>
  </si>
  <si>
    <t>CEBAT-7275</t>
  </si>
  <si>
    <t>BATERIA PLOMO CARBONO 12V-200AH</t>
  </si>
  <si>
    <t>CEBAT-7276</t>
  </si>
  <si>
    <t>BATERIA PLOMO CARBONO 12V-250AH</t>
  </si>
  <si>
    <t>19.3.  MODULO DE LITIO</t>
  </si>
  <si>
    <t>CEBAT-7297</t>
  </si>
  <si>
    <t>MODULO DE LITIO 51.2V100AH REF. FLL51.2V100Ah</t>
  </si>
  <si>
    <t>CEBAT-7296</t>
  </si>
  <si>
    <t>MODULO DE LITIO 51.2V200AH REF. FLL51.2V200Ah</t>
  </si>
  <si>
    <t>20.  INFRAESTRUCTURA - GABINETES TIPO RACK POWEST</t>
  </si>
  <si>
    <t>NGBP-6045</t>
  </si>
  <si>
    <t>GABINETE PISO 60 X 60 X 45U (AXPXAL)</t>
  </si>
  <si>
    <t>NGBP-6040</t>
  </si>
  <si>
    <t>GABINETE PISO 60 X 60 X 40U (AXPXAL)</t>
  </si>
  <si>
    <t>NGBP-6034</t>
  </si>
  <si>
    <t>GABINETE PISO 60 X 60 X 34U (AXPXAL)</t>
  </si>
  <si>
    <t>NGBP-6028</t>
  </si>
  <si>
    <t>GABINETE PISO 60 X 60 X 28U (AXPXAL)</t>
  </si>
  <si>
    <t>NGBP-6020</t>
  </si>
  <si>
    <t>GABINETE PISO 60 X 60 X 20U (AXPXAL)</t>
  </si>
  <si>
    <t>NGBP-6014</t>
  </si>
  <si>
    <t>GABINETE PISO 60 X 60 X 14U (AXPXAL)</t>
  </si>
  <si>
    <t>NGBP-8045</t>
  </si>
  <si>
    <t>GABINETE PISO 60 X 80 X 45U (AXPXAL)</t>
  </si>
  <si>
    <t>NGBP-8040</t>
  </si>
  <si>
    <t>GABINETE PISO 60 X 80 X 40U (AXPXAL)</t>
  </si>
  <si>
    <t>NGBP-8034</t>
  </si>
  <si>
    <t>GABINETE PISO 60 X 80 X 34U (AXPXAL)</t>
  </si>
  <si>
    <t>NGBP-10045</t>
  </si>
  <si>
    <t>GABINETE PISO 80 X 100 X 45U (AXPXAL)</t>
  </si>
  <si>
    <t>NGBP-10044</t>
  </si>
  <si>
    <t>GABINETE PISO 80 X 100 X 40U (AXPXAL)</t>
  </si>
  <si>
    <t>NGBPR-6501</t>
  </si>
  <si>
    <t>GABINETE PARED 60 X 50 X 11U (AXPXAL)</t>
  </si>
  <si>
    <t>NGBPR-6509</t>
  </si>
  <si>
    <t>GABINETE PARED 60 X 50 X 9U (AXPXAL)</t>
  </si>
  <si>
    <t>NGBPR-6505</t>
  </si>
  <si>
    <t>GABINETE PARED 60 X 50 X 6U (AXPXAL)</t>
  </si>
  <si>
    <t>NGBPR-6305</t>
  </si>
  <si>
    <t>GABINETE PARED 60 X 35 X 5U (AXPXAL)</t>
  </si>
  <si>
    <t>21. ACCESORIOS PARA GABINETES TIPO RACK</t>
  </si>
  <si>
    <t>NORV-8040</t>
  </si>
  <si>
    <t>ORGANIZADOR VERTICAL PARA GABINETE 80 X 40U (AXAL)</t>
  </si>
  <si>
    <t>NBAS-3510</t>
  </si>
  <si>
    <t>BANDEJA SENCILLA VENTILADA 1 U X 35 CM</t>
  </si>
  <si>
    <t>NBAS-3020</t>
  </si>
  <si>
    <t>BANDEJA SENCILLA VENTILADA 2 U X 30 CM</t>
  </si>
  <si>
    <t>NBAC-3510</t>
  </si>
  <si>
    <t>BANDEJA COMPLETA VENTILADA 1 U X 35 CM AJUSTABLE</t>
  </si>
  <si>
    <t>NBAC-5510</t>
  </si>
  <si>
    <t>BANDEJA COMPLETA VENTILADA 1 U X 55 CM AJUSTABLE</t>
  </si>
  <si>
    <t>NBAC-6510</t>
  </si>
  <si>
    <t>BANDEJA COMPLETA VENTILADA 1 U X 65 CM AJUSTABLE</t>
  </si>
  <si>
    <t>NBAD-3510</t>
  </si>
  <si>
    <t>BANDEJA DESLIZABLE VENTILADA 1 U X 35 CM</t>
  </si>
  <si>
    <t>NBAD-6510</t>
  </si>
  <si>
    <t>BANDEJA DESLIZABLE VENTILADA 1 U X 65 CM</t>
  </si>
  <si>
    <t>NMULT-2289</t>
  </si>
  <si>
    <t>MULTITOMA TIERRA AISLADA 6 SALIDAS - RACK PDU</t>
  </si>
  <si>
    <t>NMULT-2290</t>
  </si>
  <si>
    <t>MULTITOMA TIERRA AISLADA 12 SALIDAS - RACK PDU</t>
  </si>
  <si>
    <t>NORHM-2401</t>
  </si>
  <si>
    <t>ORGANIZADOR HORIZONTAL METALICO 1U</t>
  </si>
  <si>
    <t>NORHM-2402</t>
  </si>
  <si>
    <t>ORGANIZADOR HORIZONTAL METALICO 2U</t>
  </si>
  <si>
    <t>NORHP-2403</t>
  </si>
  <si>
    <t>ORGANIZADOR HORIZONTAL PLASTICO 1U</t>
  </si>
  <si>
    <t>NORHP-2404</t>
  </si>
  <si>
    <t>ORGANIZADOR HORIZONTAL PLASTICO 2U</t>
  </si>
  <si>
    <t>NORCP-2302</t>
  </si>
  <si>
    <t>ORGANIZADOR DE CABLES PLASTICO</t>
  </si>
  <si>
    <t>NKITV-2317</t>
  </si>
  <si>
    <t>KIT DE VENTILACION DOBLE CON CHASIS</t>
  </si>
  <si>
    <t>NKITV-2318</t>
  </si>
  <si>
    <t>KIT DE VENTILACION DOBLE CON TERMOSTATO</t>
  </si>
  <si>
    <t>NKITB-2293</t>
  </si>
  <si>
    <t>KIT DE BARRAJE TIERRA</t>
  </si>
  <si>
    <t>NCONS-2294</t>
  </si>
  <si>
    <t>CONSOLA 1U MONITOR TECLADO MOUSE CON SWITCH KVM 8</t>
  </si>
  <si>
    <t>NKTOR-2295</t>
  </si>
  <si>
    <t>KIT DE TORNILLERIA 50 TUERCAS 50 TORNILLOS M6</t>
  </si>
  <si>
    <t>NTA1U-2296</t>
  </si>
  <si>
    <t>TAPA CIEGA 1U</t>
  </si>
  <si>
    <t>NTA2U-2297</t>
  </si>
  <si>
    <t>TAPA CIEGA 2U</t>
  </si>
  <si>
    <t>22. ACCESORIOS PARA GABINETES TIPO RACK / PATCH PANEL</t>
  </si>
  <si>
    <t>NPP5E24-0524</t>
  </si>
  <si>
    <t>PATCH PANEL CAT 5E 24 PUERTOS 1U</t>
  </si>
  <si>
    <t>NPP624-0624</t>
  </si>
  <si>
    <t>PATCH PANEL CAT 6 24 PUERTOS 1U</t>
  </si>
  <si>
    <t>NPP6A24-1624</t>
  </si>
  <si>
    <t>PATCH PANEL CAT 6A 24 PUERTOS 1U</t>
  </si>
  <si>
    <t>NPPGEN-5624</t>
  </si>
  <si>
    <t>PORT PANEL CAT 5E, 6 Y 6A 24 PUERTOS</t>
  </si>
  <si>
    <t>23. CABLE LAN Y ACCESORIOS LAN POWEST</t>
  </si>
  <si>
    <t>23.1 CATEGORIA 5E</t>
  </si>
  <si>
    <t>NJR5E-1500</t>
  </si>
  <si>
    <t>JACK CAT 5E UTP ROJO</t>
  </si>
  <si>
    <t>NJA5E-0500</t>
  </si>
  <si>
    <t>JACK CAT 5E UTP AZUL</t>
  </si>
  <si>
    <t>NRJ5E-0502</t>
  </si>
  <si>
    <t>RJ 45 5E</t>
  </si>
  <si>
    <t>NPC5E3A-0503</t>
  </si>
  <si>
    <t>PATCH CORD CAT 5E 3FT AZUL</t>
  </si>
  <si>
    <t>NPC5E7A-0507</t>
  </si>
  <si>
    <t>PATCH CORD CAT 5E 7FT AZUL</t>
  </si>
  <si>
    <t>NPC5E10A-0510</t>
  </si>
  <si>
    <t>PATCH CORD CAT 5E 10FT AZUL</t>
  </si>
  <si>
    <t>NPC5E3R-1503</t>
  </si>
  <si>
    <t>PATCH CORD CAT 5E 3FT ROJO</t>
  </si>
  <si>
    <t>NPC5E7R-1507</t>
  </si>
  <si>
    <t>PATCH CORD CAT 5E 7FT ROJO</t>
  </si>
  <si>
    <t>NPC5E10R-1510</t>
  </si>
  <si>
    <t>PATCH CORD CAT 5E 10FT ROJO</t>
  </si>
  <si>
    <t>NUU5EP-0509</t>
  </si>
  <si>
    <t>CABLE UTP CAT 5E (305 MTS)</t>
  </si>
  <si>
    <t>NUU5EPO-2502</t>
  </si>
  <si>
    <t>CABLE OUTDOOR UTP CAT 5E PVC (305 MTS)</t>
  </si>
  <si>
    <t>23.2 CATEGORIA 6</t>
  </si>
  <si>
    <t>NJR6-2600</t>
  </si>
  <si>
    <t>JACK CAT 6 UTP ROJO</t>
  </si>
  <si>
    <t>NJA6-0601</t>
  </si>
  <si>
    <t>JACK CAT 6 UTP AZUL</t>
  </si>
  <si>
    <t>NJN6-3600</t>
  </si>
  <si>
    <t>JACK CAT 6 UTP NEGRO</t>
  </si>
  <si>
    <t>NRJ6F-0606</t>
  </si>
  <si>
    <t>RJ45 6 FTP</t>
  </si>
  <si>
    <t>NRJ6-0602</t>
  </si>
  <si>
    <t>RJ 45 6</t>
  </si>
  <si>
    <t>NPC63A-0603</t>
  </si>
  <si>
    <t>PATCH CORD CAT 6 3FT AZUL</t>
  </si>
  <si>
    <t>NPC65A-0605</t>
  </si>
  <si>
    <t>PATCH CORD CAT 6 5FT AZUL</t>
  </si>
  <si>
    <t>NPC67A-0607</t>
  </si>
  <si>
    <t>PATCH CORD CAT 6 7FT AZUL</t>
  </si>
  <si>
    <t>NPC610A-0610</t>
  </si>
  <si>
    <t>PATCH CORD CAT 6 10FT AZUL</t>
  </si>
  <si>
    <t>NPC63R-2603</t>
  </si>
  <si>
    <t>PATCH CORD CAT 6 3FT ROJO</t>
  </si>
  <si>
    <t>NPC65R-2605</t>
  </si>
  <si>
    <t>PATCH CORD CAT 6 5FT ROJO</t>
  </si>
  <si>
    <t>NPC67R-2607</t>
  </si>
  <si>
    <t>PATCH CORD CAT 6 7FT ROJO</t>
  </si>
  <si>
    <t>NPC610R-2610</t>
  </si>
  <si>
    <t>PATCH CORD CAT 6 10FT ROJO</t>
  </si>
  <si>
    <t>NUU6P-0600</t>
  </si>
  <si>
    <t>CABLE UTP CAT 6 (305 MTS)</t>
  </si>
  <si>
    <t>NUU6L-0604</t>
  </si>
  <si>
    <t>CABLE UTP CAT 6 LSZH (305 MTS)</t>
  </si>
  <si>
    <t>NUU6P0-2602</t>
  </si>
  <si>
    <t>CABLE OUTDOOR UTP CAT 6 PVC (305 MTS)</t>
  </si>
  <si>
    <t>23.3 CATEGORIA 6A</t>
  </si>
  <si>
    <t>NJ6A-1600</t>
  </si>
  <si>
    <t>JACK CAT 6A FTP</t>
  </si>
  <si>
    <t>NJR6A-3601</t>
  </si>
  <si>
    <t>JACK CAT 6A UTP ROJO</t>
  </si>
  <si>
    <t>NJA6A-3602</t>
  </si>
  <si>
    <t>JACK CAT 6A UTP AZUL</t>
  </si>
  <si>
    <t>NJN6A-3603</t>
  </si>
  <si>
    <t>JACK CAT 6A UTP NEGRO</t>
  </si>
  <si>
    <t>NRJ6AF-3606</t>
  </si>
  <si>
    <t>RJ45 6A FTP</t>
  </si>
  <si>
    <t>NRJ6AU-2606</t>
  </si>
  <si>
    <t>RJ45 6A UTP</t>
  </si>
  <si>
    <t>NPC6A3A-1603</t>
  </si>
  <si>
    <t>PATCH CORD U/FTP CAT 6A 3FT AZUL</t>
  </si>
  <si>
    <t>NPC6A5A-1605</t>
  </si>
  <si>
    <t>PATCH CORD U/FTP CAT 6A 5FT AZUL</t>
  </si>
  <si>
    <t>NPC6A7A-1607</t>
  </si>
  <si>
    <t>PATCH CORD U/FTP CAT 6A 7FT AZUL</t>
  </si>
  <si>
    <t>NPC6A10A-1610</t>
  </si>
  <si>
    <t>PATCH CORD U/FTP CAT 6A 10FT AZUL</t>
  </si>
  <si>
    <t>NPC6A3R-3603</t>
  </si>
  <si>
    <t>PATCH CORD U/FTP CAT 6A 3FT ROJO</t>
  </si>
  <si>
    <t>NPC6A5R-3605</t>
  </si>
  <si>
    <t>PATCH CORD U/FTP CAT 6A 5FT ROJO</t>
  </si>
  <si>
    <t>NPC6A7R-3607</t>
  </si>
  <si>
    <t>PATCH CORD U/FTP CAT 6A 7FT ROJO</t>
  </si>
  <si>
    <t>NPC6A10R-3610</t>
  </si>
  <si>
    <t>PATCH CORD U/FTP CAT 6A 10FT ROJO</t>
  </si>
  <si>
    <t>NPC6A3AU-4603</t>
  </si>
  <si>
    <t>PATCH CORD UTP CAT 6A 3FT AZUL</t>
  </si>
  <si>
    <t>NPC6A5AU-4605</t>
  </si>
  <si>
    <t>PATCH CORD UTP CAT 6A 5FT AZUL</t>
  </si>
  <si>
    <t>NPC6A7AU-4607</t>
  </si>
  <si>
    <t>PATCH CORD UTP CAT 6A 7FT AZUL</t>
  </si>
  <si>
    <t>NPC6A10AU-4610</t>
  </si>
  <si>
    <t>PATCH CORD UTP CAT 6A 10FT AZUL</t>
  </si>
  <si>
    <t>NPC6A3RU-5603</t>
  </si>
  <si>
    <t>PATCH CORD UTP CAT 6A 3FT ROJO</t>
  </si>
  <si>
    <t>NPC6A5RU-5605</t>
  </si>
  <si>
    <t>PATCH CORD UTP CAT 6A 5FT ROJO</t>
  </si>
  <si>
    <t>NPC6A7RU-5607</t>
  </si>
  <si>
    <t>PATCH CORD UTP CAT 6A 7FT ROJO</t>
  </si>
  <si>
    <t>NPC6A10RU-5610</t>
  </si>
  <si>
    <t>PATCH CORD UTP CAT 6A 10FT ROJO</t>
  </si>
  <si>
    <t>NUU6AP-1626</t>
  </si>
  <si>
    <t>CABLE U/UTP CAT 6A PVC (305 MTS)</t>
  </si>
  <si>
    <t>NFU6AL-1606</t>
  </si>
  <si>
    <t>CABLE F/UTP CAT 6A LSZH (305 MTS)</t>
  </si>
  <si>
    <t>23.4 ACCESORIOS</t>
  </si>
  <si>
    <t>NLB-0009</t>
  </si>
  <si>
    <t>BOTAS</t>
  </si>
  <si>
    <t>NFPS-0004</t>
  </si>
  <si>
    <t>FACE PLATE SENCILLO</t>
  </si>
  <si>
    <t>NFPD-0005</t>
  </si>
  <si>
    <t>FACE PLATE DOBLE</t>
  </si>
  <si>
    <t>NFPC-0006</t>
  </si>
  <si>
    <t>FACE PLATE CUADRUPLE</t>
  </si>
  <si>
    <t>NTFP-0008</t>
  </si>
  <si>
    <t>TAPA ESPACIO BLANCO</t>
  </si>
  <si>
    <t>NTFN-0009</t>
  </si>
  <si>
    <t>TAPA ESPACIO NEGRO</t>
  </si>
  <si>
    <t>NHMDI-0007</t>
  </si>
  <si>
    <t>UNION HDMI PARA FACEPLATE</t>
  </si>
  <si>
    <t>24. ENERGIAS RENOVABLES</t>
  </si>
  <si>
    <t>24.1 INVERSOR SOLAR  - UPS HIBRIDA</t>
  </si>
  <si>
    <t>NUHIB-7510</t>
  </si>
  <si>
    <t>INVERSOR SOLAR ALL IN ONE 1KVA</t>
  </si>
  <si>
    <t>NUHIB-7504</t>
  </si>
  <si>
    <t>INVERSOR SOLAR ALL IN ONE 3KVA ON-GRID</t>
  </si>
  <si>
    <t>NUHIB-7565</t>
  </si>
  <si>
    <t>INVERSOR SOLAR ALL IN ONE 6KVA ON-GRID</t>
  </si>
  <si>
    <t>NUHIB-7592</t>
  </si>
  <si>
    <t>INVERSOR SOLAR ALL IN ONE 12KVA ON-GRID FASE PARTIDA IP65</t>
  </si>
  <si>
    <t>24.2 PANELES SOLARES</t>
  </si>
  <si>
    <t>NERM550-8550</t>
  </si>
  <si>
    <t>PANEL SOLAR MONO HC 550W REF. POWEST PANEL SOLAR MONO HC 550W</t>
  </si>
  <si>
    <t>NERM450-8450</t>
  </si>
  <si>
    <t>PANEL SOLAR MONO HC PERC 450W REF. POWEST PANEL SOLAR MONO HC PERC 450W</t>
  </si>
  <si>
    <t>NERM360-8360</t>
  </si>
  <si>
    <t>PANEL SOLAR MONO PERC 360W REF. POWEST PANEL SOLAR MONO PERC 360W</t>
  </si>
  <si>
    <t>NERM300-8300</t>
  </si>
  <si>
    <t>PANEL SOLAR MONO PERC 300W REF. POWEST PANEL SOLAR MONO PERC 300W</t>
  </si>
  <si>
    <t>NERM160-8160</t>
  </si>
  <si>
    <t>PANEL SOLAR MONO PERC 160W REF. POWEST PANEL SOLAR MONO PERC 160W</t>
  </si>
  <si>
    <t>NERM120-8120</t>
  </si>
  <si>
    <t>PANEL SOLAR MONO PERC 120W REF. POWEST PANEL SOLAR MONO PERC 120W</t>
  </si>
  <si>
    <t>NERM062-8062</t>
  </si>
  <si>
    <t>PANEL SOLAR 60W SET 2 UND REF. POWEST PANEL SOLAR 60W SET 2 UND</t>
  </si>
  <si>
    <t>NERM042-8042</t>
  </si>
  <si>
    <t>PANEL SOLAR 40W SET 2 UND REF. POWEST PANEL SOLAR 40W SET 2 UND</t>
  </si>
  <si>
    <t>24.3 ACCESORIOS</t>
  </si>
  <si>
    <t>ACCSNMP-9282</t>
  </si>
  <si>
    <t>SNMP SOFTWARE Y TARJETA REF. SNMP HIBRIDA 3KVA</t>
  </si>
  <si>
    <t>ACCPARAL-9352</t>
  </si>
  <si>
    <t>KIT PARALELO UPS HIBRIDA 6KVA</t>
  </si>
  <si>
    <t>ACCSNMP-9352</t>
  </si>
  <si>
    <t>SNMP SOFTWARE Y TARJETA REF. SNMP HIBRIDA 5KVA</t>
  </si>
  <si>
    <t>NERMC4-8800</t>
  </si>
  <si>
    <t>SET DE CONECTORES MC4 HEMBRA - MACHO</t>
  </si>
  <si>
    <t>NERMC4-8804</t>
  </si>
  <si>
    <t>SET DE CONECTORES POWEST MC4 HEMBRA MACHO (5 UND)</t>
  </si>
  <si>
    <t>NERMC4T-8801</t>
  </si>
  <si>
    <t>SET DE CONECTORES TIPO T MC4T HEMBRA - MACHO</t>
  </si>
  <si>
    <t>NERMC4Y-8802</t>
  </si>
  <si>
    <t>SET DE CONECTORES TIPO Y MC4Y HEMBRA - MACHO</t>
  </si>
  <si>
    <t>24.4 BATERIAS SELLADAS SOLARES</t>
  </si>
  <si>
    <t>CEBAT-7574</t>
  </si>
  <si>
    <t>BATERIA SOLAR 12V-100AH REF. FLS121000</t>
  </si>
  <si>
    <t>CEBAT-7582</t>
  </si>
  <si>
    <t>BATERIA SOLAR 12V-250AH REF. FLS122500</t>
  </si>
  <si>
    <t>24.6 CONTROLADORES SOLARES</t>
  </si>
  <si>
    <t>NERRG3000-3300</t>
  </si>
  <si>
    <t>CONTROLADOR DE CARGADOR SOLAR 3KW</t>
  </si>
  <si>
    <t>2. REGULADORES ELECTRONICOS DE VOLTAJE.</t>
  </si>
  <si>
    <r>
      <rPr>
        <sz val="11"/>
        <rFont val="Arial"/>
        <family val="2"/>
      </rPr>
      <t>POWEST VFD 0.75 KW (1 HP) - 220/240 VAC 1 PHASE</t>
    </r>
  </si>
  <si>
    <r>
      <rPr>
        <sz val="11"/>
        <rFont val="Arial"/>
        <family val="2"/>
      </rPr>
      <t>VFD-7725</t>
    </r>
  </si>
  <si>
    <r>
      <rPr>
        <sz val="11"/>
        <rFont val="Arial"/>
        <family val="2"/>
      </rPr>
      <t>POWEST VFD 1.5 KW (2 HP) - 220/240 VAC 1 PHASE</t>
    </r>
  </si>
  <si>
    <r>
      <rPr>
        <sz val="11"/>
        <rFont val="Arial"/>
        <family val="2"/>
      </rPr>
      <t>VFD-7726</t>
    </r>
  </si>
  <si>
    <r>
      <rPr>
        <sz val="11"/>
        <rFont val="Arial"/>
        <family val="2"/>
      </rPr>
      <t>POWEST VFD 2.2 KW (3 HP) - 220/240 VAC 1 PHASE</t>
    </r>
  </si>
  <si>
    <r>
      <rPr>
        <sz val="11"/>
        <rFont val="Arial"/>
        <family val="2"/>
      </rPr>
      <t>VFD-7727</t>
    </r>
  </si>
  <si>
    <r>
      <rPr>
        <sz val="11"/>
        <rFont val="Arial"/>
        <family val="2"/>
      </rPr>
      <t>POWEST VFD 3.7 KW (5 HP) - 220/240 VAC 1 PHASE</t>
    </r>
  </si>
  <si>
    <r>
      <rPr>
        <sz val="11"/>
        <rFont val="Arial"/>
        <family val="2"/>
      </rPr>
      <t>VFD-7728</t>
    </r>
  </si>
  <si>
    <r>
      <rPr>
        <sz val="11"/>
        <rFont val="Arial"/>
        <family val="2"/>
      </rPr>
      <t>POWEST VFD 5.5 KW (7 HP) - 220/240 VAC 1 PHASE</t>
    </r>
  </si>
  <si>
    <r>
      <rPr>
        <sz val="11"/>
        <rFont val="Arial"/>
        <family val="2"/>
      </rPr>
      <t>VFD-7729</t>
    </r>
  </si>
  <si>
    <r>
      <rPr>
        <sz val="11"/>
        <rFont val="Arial"/>
        <family val="2"/>
      </rPr>
      <t>POWEST VFD 0.75 KW (1 HP) - 220/240 VAC 3 PHASES</t>
    </r>
  </si>
  <si>
    <r>
      <rPr>
        <sz val="11"/>
        <rFont val="Arial"/>
        <family val="2"/>
      </rPr>
      <t>VFD-7730</t>
    </r>
  </si>
  <si>
    <r>
      <rPr>
        <sz val="11"/>
        <rFont val="Arial"/>
        <family val="2"/>
      </rPr>
      <t>POWEST VFD 1.5 KW (2 HP) - 220/240 VAC 3 PHASES</t>
    </r>
  </si>
  <si>
    <r>
      <rPr>
        <sz val="11"/>
        <rFont val="Arial"/>
        <family val="2"/>
      </rPr>
      <t>VFD-7731</t>
    </r>
  </si>
  <si>
    <r>
      <rPr>
        <sz val="11"/>
        <rFont val="Arial"/>
        <family val="2"/>
      </rPr>
      <t>POWEST VFD 2.2 KW (3 HP) - 220/240 VAC 3 PHASES</t>
    </r>
  </si>
  <si>
    <r>
      <rPr>
        <sz val="11"/>
        <rFont val="Arial"/>
        <family val="2"/>
      </rPr>
      <t>VFD-7732</t>
    </r>
  </si>
  <si>
    <r>
      <rPr>
        <sz val="11"/>
        <rFont val="Arial"/>
        <family val="2"/>
      </rPr>
      <t>POWEST VFD 3.7 KW (5 HP) - 220/240 VAC 3 PHASES</t>
    </r>
  </si>
  <si>
    <r>
      <rPr>
        <sz val="11"/>
        <rFont val="Arial"/>
        <family val="2"/>
      </rPr>
      <t>VFD-7733</t>
    </r>
  </si>
  <si>
    <r>
      <rPr>
        <sz val="11"/>
        <rFont val="Arial"/>
        <family val="2"/>
      </rPr>
      <t>POWEST VFD 5.5 KW (7 HP) - 220/240 VAC 3 PHASES</t>
    </r>
  </si>
  <si>
    <r>
      <rPr>
        <sz val="11"/>
        <rFont val="Arial"/>
        <family val="2"/>
      </rPr>
      <t>VFD-7734</t>
    </r>
  </si>
  <si>
    <r>
      <rPr>
        <sz val="11"/>
        <rFont val="Arial"/>
        <family val="2"/>
      </rPr>
      <t>POWEST VFD 5.5 KW (7 HP) - 380/480 VAC 3 PHASES</t>
    </r>
  </si>
  <si>
    <r>
      <rPr>
        <sz val="11"/>
        <rFont val="Arial"/>
        <family val="2"/>
      </rPr>
      <t>VFD-7735</t>
    </r>
  </si>
  <si>
    <r>
      <rPr>
        <sz val="11"/>
        <rFont val="Arial"/>
        <family val="2"/>
      </rPr>
      <t>POWEST VFD 7.5 KW (10 HP) - 380/480 VAC 3 PHASES</t>
    </r>
  </si>
  <si>
    <r>
      <rPr>
        <sz val="11"/>
        <rFont val="Arial"/>
        <family val="2"/>
      </rPr>
      <t>VFD-7736</t>
    </r>
  </si>
  <si>
    <r>
      <rPr>
        <sz val="11"/>
        <rFont val="Arial"/>
        <family val="2"/>
      </rPr>
      <t>POWEST VFD 11 KW (15HP) - 380/440 VAC 3 PHASES</t>
    </r>
  </si>
  <si>
    <r>
      <rPr>
        <sz val="11"/>
        <rFont val="Arial"/>
        <family val="2"/>
      </rPr>
      <t>VFD-7737</t>
    </r>
  </si>
  <si>
    <r>
      <rPr>
        <sz val="11"/>
        <rFont val="Arial"/>
        <family val="2"/>
      </rPr>
      <t>POWEST VFD 15 KW (20 HP) - 380/440 VAC 3 PHASES</t>
    </r>
  </si>
  <si>
    <r>
      <rPr>
        <sz val="11"/>
        <rFont val="Arial"/>
        <family val="2"/>
      </rPr>
      <t>VFD-7738</t>
    </r>
  </si>
  <si>
    <r>
      <rPr>
        <sz val="11"/>
        <rFont val="Arial"/>
        <family val="2"/>
      </rPr>
      <t>POWEST VFD 18 KW (24 HP) - 380/440 VAC 3 PHASES</t>
    </r>
  </si>
  <si>
    <r>
      <rPr>
        <sz val="11"/>
        <rFont val="Arial"/>
        <family val="2"/>
      </rPr>
      <t>VFD-7739</t>
    </r>
  </si>
  <si>
    <r>
      <rPr>
        <sz val="11"/>
        <rFont val="Arial"/>
        <family val="2"/>
      </rPr>
      <t>POWEST VFD 22 KW (30 HP) - 380/440 VAC 3 PHASES</t>
    </r>
  </si>
  <si>
    <t>UPS INTERACTIVA 500-UPS500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</si>
</sst>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\$\ #,##0"/>
    <numFmt numFmtId="167" formatCode="\$\ 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7.5"/>
      <color rgb="FF000000"/>
      <name val="Arial MT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33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shrinkToFit="1"/>
    </xf>
    <xf numFmtId="164" fontId="4" fillId="0" borderId="2" xfId="1" applyNumberFormat="1" applyFont="1" applyFill="1" applyBorder="1" applyAlignment="1">
      <alignment horizontal="center" vertical="center" shrinkToFit="1"/>
    </xf>
    <xf numFmtId="0" fontId="4" fillId="0" borderId="0" xfId="0" applyFont="1"/>
    <xf numFmtId="0" fontId="4" fillId="0" borderId="1" xfId="0" applyFont="1" applyBorder="1" applyAlignment="1">
      <alignment horizontal="left" vertical="top"/>
    </xf>
    <xf numFmtId="165" fontId="4" fillId="0" borderId="1" xfId="1" applyNumberFormat="1" applyFont="1" applyBorder="1" applyAlignment="1">
      <alignment horizontal="center" vertical="top"/>
    </xf>
    <xf numFmtId="164" fontId="4" fillId="0" borderId="1" xfId="1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164" fontId="4" fillId="0" borderId="1" xfId="1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164" fontId="4" fillId="0" borderId="1" xfId="1" applyNumberFormat="1" applyFont="1" applyFill="1" applyBorder="1" applyAlignment="1">
      <alignment horizontal="left" vertical="center" shrinkToFit="1"/>
    </xf>
    <xf numFmtId="166" fontId="4" fillId="0" borderId="3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3" fillId="2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left" vertical="top"/>
    </xf>
    <xf numFmtId="166" fontId="5" fillId="0" borderId="3" xfId="0" applyNumberFormat="1" applyFont="1" applyBorder="1" applyAlignment="1">
      <alignment horizontal="center" vertical="top" shrinkToFit="1"/>
    </xf>
    <xf numFmtId="166" fontId="5" fillId="0" borderId="0" xfId="0" applyNumberFormat="1" applyFont="1" applyAlignment="1">
      <alignment horizontal="center" vertical="top" shrinkToFit="1"/>
    </xf>
    <xf numFmtId="166" fontId="4" fillId="0" borderId="0" xfId="0" applyNumberFormat="1" applyFont="1"/>
    <xf numFmtId="166" fontId="5" fillId="0" borderId="3" xfId="0" applyNumberFormat="1" applyFont="1" applyBorder="1" applyAlignment="1">
      <alignment horizontal="left" vertical="top" shrinkToFit="1"/>
    </xf>
    <xf numFmtId="167" fontId="5" fillId="0" borderId="3" xfId="0" applyNumberFormat="1" applyFont="1" applyBorder="1" applyAlignment="1">
      <alignment horizontal="left" vertical="top" shrinkToFit="1"/>
    </xf>
    <xf numFmtId="166" fontId="5" fillId="0" borderId="0" xfId="0" applyNumberFormat="1" applyFont="1" applyAlignment="1">
      <alignment horizontal="left" vertical="top" shrinkToFit="1"/>
    </xf>
    <xf numFmtId="167" fontId="5" fillId="0" borderId="0" xfId="0" applyNumberFormat="1" applyFont="1" applyAlignment="1">
      <alignment horizontal="left" vertical="top" shrinkToFi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6" fontId="5" fillId="0" borderId="5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B90C-2559-4C36-B2E7-6BA8E5589335}">
  <dimension ref="A1:N336"/>
  <sheetViews>
    <sheetView tabSelected="1" zoomScaleNormal="100" workbookViewId="0">
      <pane ySplit="1" topLeftCell="A324" activePane="bottomLeft" state="frozen"/>
      <selection pane="bottomLeft" sqref="A1:F336"/>
    </sheetView>
  </sheetViews>
  <sheetFormatPr baseColWidth="10" defaultRowHeight="14.25" x14ac:dyDescent="0.2"/>
  <cols>
    <col min="1" max="1" width="15.42578125" style="8" customWidth="1"/>
    <col min="2" max="2" width="39.85546875" style="8" bestFit="1" customWidth="1"/>
    <col min="3" max="3" width="17.42578125" style="8" customWidth="1"/>
    <col min="4" max="4" width="16.85546875" style="8" customWidth="1"/>
    <col min="5" max="5" width="18" style="8" customWidth="1"/>
    <col min="6" max="7" width="11.42578125" style="8" hidden="1" customWidth="1"/>
    <col min="8" max="8" width="13.28515625" style="8" hidden="1" customWidth="1"/>
    <col min="9" max="11" width="11.42578125" style="8" hidden="1" customWidth="1"/>
    <col min="12" max="16384" width="11.42578125" style="8"/>
  </cols>
  <sheetData>
    <row r="1" spans="1:14" ht="46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  <c r="H1" s="5" t="s">
        <v>6</v>
      </c>
      <c r="I1" s="4" t="s">
        <v>7</v>
      </c>
      <c r="J1" s="6" t="s">
        <v>8</v>
      </c>
      <c r="K1" s="7" t="s">
        <v>9</v>
      </c>
    </row>
    <row r="2" spans="1:14" ht="15" x14ac:dyDescent="0.2">
      <c r="A2" s="31" t="s">
        <v>10</v>
      </c>
      <c r="B2" s="31"/>
      <c r="C2" s="31"/>
      <c r="D2" s="31"/>
      <c r="E2" s="31"/>
      <c r="F2" s="31"/>
      <c r="G2" s="9"/>
      <c r="H2" s="11"/>
      <c r="I2" s="12"/>
      <c r="J2" s="9"/>
      <c r="K2" s="15"/>
    </row>
    <row r="3" spans="1:14" ht="28.5" x14ac:dyDescent="0.2">
      <c r="A3" s="14" t="s">
        <v>11</v>
      </c>
      <c r="B3" s="14" t="s">
        <v>613</v>
      </c>
      <c r="C3" s="10">
        <f t="shared" ref="C3:C21" si="0">+H3/G3</f>
        <v>337811.6</v>
      </c>
      <c r="D3" s="10">
        <f t="shared" ref="D3:D68" si="1">+C3-F3</f>
        <v>320921.01999999996</v>
      </c>
      <c r="E3" s="10">
        <f t="shared" ref="E3:E68" si="2">+C3/0.7</f>
        <v>482588</v>
      </c>
      <c r="F3" s="10">
        <f t="shared" ref="F3:F68" si="3">+C3*5%</f>
        <v>16890.579999999998</v>
      </c>
      <c r="G3" s="9">
        <v>0.85</v>
      </c>
      <c r="H3" s="11">
        <f t="shared" ref="H3:H67" si="4">K3*1.19</f>
        <v>287139.86</v>
      </c>
      <c r="I3" s="12"/>
      <c r="J3" s="9"/>
      <c r="K3" s="23">
        <v>241294</v>
      </c>
      <c r="M3" s="24"/>
      <c r="N3" s="25"/>
    </row>
    <row r="4" spans="1:14" ht="28.5" x14ac:dyDescent="0.2">
      <c r="A4" s="14" t="s">
        <v>614</v>
      </c>
      <c r="B4" s="14" t="s">
        <v>615</v>
      </c>
      <c r="C4" s="10">
        <f t="shared" si="0"/>
        <v>350882</v>
      </c>
      <c r="D4" s="10">
        <f t="shared" si="1"/>
        <v>333337.90000000002</v>
      </c>
      <c r="E4" s="10">
        <f t="shared" si="2"/>
        <v>501260.00000000006</v>
      </c>
      <c r="F4" s="10">
        <f t="shared" si="3"/>
        <v>17544.100000000002</v>
      </c>
      <c r="G4" s="9">
        <v>0.85</v>
      </c>
      <c r="H4" s="11">
        <f t="shared" si="4"/>
        <v>298249.7</v>
      </c>
      <c r="I4" s="12"/>
      <c r="J4" s="9"/>
      <c r="K4" s="23">
        <v>250630</v>
      </c>
      <c r="M4" s="24"/>
      <c r="N4" s="25"/>
    </row>
    <row r="5" spans="1:14" ht="28.5" x14ac:dyDescent="0.2">
      <c r="A5" s="14" t="s">
        <v>616</v>
      </c>
      <c r="B5" s="14" t="s">
        <v>617</v>
      </c>
      <c r="C5" s="10">
        <f t="shared" si="0"/>
        <v>410970</v>
      </c>
      <c r="D5" s="10">
        <f t="shared" si="1"/>
        <v>390421.5</v>
      </c>
      <c r="E5" s="10">
        <f t="shared" si="2"/>
        <v>587100</v>
      </c>
      <c r="F5" s="10">
        <f t="shared" si="3"/>
        <v>20548.5</v>
      </c>
      <c r="G5" s="9">
        <v>0.85</v>
      </c>
      <c r="H5" s="11">
        <f t="shared" si="4"/>
        <v>349324.5</v>
      </c>
      <c r="I5" s="12"/>
      <c r="J5" s="9"/>
      <c r="K5" s="23">
        <v>293550</v>
      </c>
      <c r="M5" s="24"/>
      <c r="N5" s="25"/>
    </row>
    <row r="6" spans="1:14" ht="28.5" x14ac:dyDescent="0.2">
      <c r="A6" s="14" t="s">
        <v>618</v>
      </c>
      <c r="B6" s="14" t="s">
        <v>619</v>
      </c>
      <c r="C6" s="10">
        <f t="shared" si="0"/>
        <v>813341.20000000007</v>
      </c>
      <c r="D6" s="10">
        <f t="shared" si="1"/>
        <v>772674.14</v>
      </c>
      <c r="E6" s="10">
        <f t="shared" si="2"/>
        <v>1161916.0000000002</v>
      </c>
      <c r="F6" s="10">
        <f t="shared" si="3"/>
        <v>40667.060000000005</v>
      </c>
      <c r="G6" s="9">
        <v>0.85</v>
      </c>
      <c r="H6" s="11">
        <f t="shared" si="4"/>
        <v>691340.02</v>
      </c>
      <c r="I6" s="12"/>
      <c r="J6" s="9"/>
      <c r="K6" s="23">
        <v>580958</v>
      </c>
      <c r="M6" s="24"/>
      <c r="N6" s="25"/>
    </row>
    <row r="7" spans="1:14" ht="28.5" x14ac:dyDescent="0.2">
      <c r="A7" s="14" t="s">
        <v>620</v>
      </c>
      <c r="B7" s="14" t="s">
        <v>621</v>
      </c>
      <c r="C7" s="10">
        <f t="shared" si="0"/>
        <v>857921.39999999991</v>
      </c>
      <c r="D7" s="10">
        <f t="shared" si="1"/>
        <v>815025.33</v>
      </c>
      <c r="E7" s="10">
        <f t="shared" si="2"/>
        <v>1225602</v>
      </c>
      <c r="F7" s="10">
        <f t="shared" si="3"/>
        <v>42896.07</v>
      </c>
      <c r="G7" s="9">
        <v>0.85</v>
      </c>
      <c r="H7" s="11">
        <f t="shared" si="4"/>
        <v>729233.19</v>
      </c>
      <c r="I7" s="12"/>
      <c r="J7" s="17"/>
      <c r="K7" s="23">
        <v>612801</v>
      </c>
      <c r="M7" s="24"/>
      <c r="N7" s="25"/>
    </row>
    <row r="8" spans="1:14" ht="28.5" x14ac:dyDescent="0.2">
      <c r="A8" s="14" t="s">
        <v>622</v>
      </c>
      <c r="B8" s="14" t="s">
        <v>623</v>
      </c>
      <c r="C8" s="10">
        <f t="shared" si="0"/>
        <v>417877.6</v>
      </c>
      <c r="D8" s="10">
        <f t="shared" si="1"/>
        <v>396983.72</v>
      </c>
      <c r="E8" s="10">
        <f t="shared" si="2"/>
        <v>596968</v>
      </c>
      <c r="F8" s="10">
        <f t="shared" si="3"/>
        <v>20893.88</v>
      </c>
      <c r="G8" s="9">
        <v>0.85</v>
      </c>
      <c r="H8" s="11">
        <f t="shared" si="4"/>
        <v>355195.95999999996</v>
      </c>
      <c r="I8" s="12"/>
      <c r="J8" s="17"/>
      <c r="K8" s="23">
        <v>298484</v>
      </c>
      <c r="M8" s="24"/>
      <c r="N8" s="25"/>
    </row>
    <row r="9" spans="1:14" ht="28.5" x14ac:dyDescent="0.2">
      <c r="A9" s="14" t="s">
        <v>624</v>
      </c>
      <c r="B9" s="14" t="s">
        <v>625</v>
      </c>
      <c r="C9" s="10">
        <f t="shared" si="0"/>
        <v>438106.19999999995</v>
      </c>
      <c r="D9" s="10">
        <f t="shared" si="1"/>
        <v>416200.88999999996</v>
      </c>
      <c r="E9" s="10">
        <f t="shared" si="2"/>
        <v>625866</v>
      </c>
      <c r="F9" s="10">
        <f t="shared" si="3"/>
        <v>21905.309999999998</v>
      </c>
      <c r="G9" s="9">
        <v>0.85</v>
      </c>
      <c r="H9" s="11">
        <f t="shared" si="4"/>
        <v>372390.26999999996</v>
      </c>
      <c r="I9" s="12"/>
      <c r="J9" s="17"/>
      <c r="K9" s="23">
        <v>312933</v>
      </c>
      <c r="M9" s="24"/>
      <c r="N9" s="25"/>
    </row>
    <row r="10" spans="1:14" ht="28.5" x14ac:dyDescent="0.2">
      <c r="A10" s="14" t="s">
        <v>626</v>
      </c>
      <c r="B10" s="14" t="s">
        <v>627</v>
      </c>
      <c r="C10" s="10">
        <f t="shared" si="0"/>
        <v>513550.8</v>
      </c>
      <c r="D10" s="10">
        <f t="shared" si="1"/>
        <v>487873.26</v>
      </c>
      <c r="E10" s="10">
        <f t="shared" si="2"/>
        <v>733644</v>
      </c>
      <c r="F10" s="10">
        <f t="shared" si="3"/>
        <v>25677.54</v>
      </c>
      <c r="G10" s="9">
        <v>0.85</v>
      </c>
      <c r="H10" s="11">
        <f t="shared" si="4"/>
        <v>436518.18</v>
      </c>
      <c r="I10" s="12"/>
      <c r="J10" s="17"/>
      <c r="K10" s="23">
        <v>366822</v>
      </c>
      <c r="M10" s="24"/>
      <c r="N10" s="25"/>
    </row>
    <row r="11" spans="1:14" ht="28.5" x14ac:dyDescent="0.2">
      <c r="A11" s="14" t="s">
        <v>628</v>
      </c>
      <c r="B11" s="14" t="s">
        <v>629</v>
      </c>
      <c r="C11" s="10">
        <f t="shared" si="0"/>
        <v>800220.4</v>
      </c>
      <c r="D11" s="10">
        <f t="shared" si="1"/>
        <v>760209.38</v>
      </c>
      <c r="E11" s="10">
        <f t="shared" si="2"/>
        <v>1143172</v>
      </c>
      <c r="F11" s="10">
        <f t="shared" si="3"/>
        <v>40011.020000000004</v>
      </c>
      <c r="G11" s="9">
        <v>0.85</v>
      </c>
      <c r="H11" s="11">
        <f t="shared" si="4"/>
        <v>680187.34</v>
      </c>
      <c r="I11" s="12"/>
      <c r="J11" s="17"/>
      <c r="K11" s="23">
        <v>571586</v>
      </c>
      <c r="M11" s="24"/>
      <c r="N11" s="25"/>
    </row>
    <row r="12" spans="1:14" ht="28.5" x14ac:dyDescent="0.2">
      <c r="A12" s="14" t="s">
        <v>630</v>
      </c>
      <c r="B12" s="14" t="s">
        <v>631</v>
      </c>
      <c r="C12" s="10">
        <f t="shared" si="0"/>
        <v>857623.2</v>
      </c>
      <c r="D12" s="10">
        <f t="shared" si="1"/>
        <v>814742.03999999992</v>
      </c>
      <c r="E12" s="10">
        <f t="shared" si="2"/>
        <v>1225176</v>
      </c>
      <c r="F12" s="10">
        <f t="shared" si="3"/>
        <v>42881.16</v>
      </c>
      <c r="G12" s="9">
        <v>0.85</v>
      </c>
      <c r="H12" s="11">
        <f t="shared" si="4"/>
        <v>728979.72</v>
      </c>
      <c r="I12" s="12"/>
      <c r="J12" s="17"/>
      <c r="K12" s="23">
        <v>612588</v>
      </c>
      <c r="M12" s="24"/>
      <c r="N12" s="25"/>
    </row>
    <row r="13" spans="1:14" ht="28.5" x14ac:dyDescent="0.2">
      <c r="A13" s="14" t="s">
        <v>632</v>
      </c>
      <c r="B13" s="14" t="s">
        <v>633</v>
      </c>
      <c r="C13" s="10">
        <f t="shared" si="0"/>
        <v>594263.6</v>
      </c>
      <c r="D13" s="10">
        <f t="shared" si="1"/>
        <v>564550.41999999993</v>
      </c>
      <c r="E13" s="10">
        <f t="shared" si="2"/>
        <v>848948</v>
      </c>
      <c r="F13" s="10">
        <f t="shared" si="3"/>
        <v>29713.18</v>
      </c>
      <c r="G13" s="9">
        <v>0.85</v>
      </c>
      <c r="H13" s="11">
        <f t="shared" si="4"/>
        <v>505124.06</v>
      </c>
      <c r="I13" s="12"/>
      <c r="J13" s="17"/>
      <c r="K13" s="23">
        <v>424474</v>
      </c>
      <c r="M13" s="24"/>
      <c r="N13" s="25"/>
    </row>
    <row r="14" spans="1:14" ht="28.5" x14ac:dyDescent="0.2">
      <c r="A14" s="14" t="s">
        <v>634</v>
      </c>
      <c r="B14" s="14" t="s">
        <v>635</v>
      </c>
      <c r="C14" s="10">
        <f t="shared" si="0"/>
        <v>847186.20000000007</v>
      </c>
      <c r="D14" s="10">
        <f t="shared" si="1"/>
        <v>804826.89</v>
      </c>
      <c r="E14" s="10">
        <f t="shared" si="2"/>
        <v>1210266.0000000002</v>
      </c>
      <c r="F14" s="10">
        <f t="shared" si="3"/>
        <v>42359.310000000005</v>
      </c>
      <c r="G14" s="9">
        <v>0.85</v>
      </c>
      <c r="H14" s="11">
        <f t="shared" si="4"/>
        <v>720108.27</v>
      </c>
      <c r="I14" s="12"/>
      <c r="J14" s="9"/>
      <c r="K14" s="23">
        <v>605133</v>
      </c>
      <c r="M14" s="24"/>
      <c r="N14" s="25"/>
    </row>
    <row r="15" spans="1:14" ht="28.5" x14ac:dyDescent="0.2">
      <c r="A15" s="14" t="s">
        <v>636</v>
      </c>
      <c r="B15" s="14" t="s">
        <v>637</v>
      </c>
      <c r="C15" s="10">
        <f t="shared" ref="C15:C18" si="5">+H15/G15</f>
        <v>803549.6</v>
      </c>
      <c r="D15" s="10">
        <f t="shared" ref="D15:D18" si="6">+C15-F15</f>
        <v>763372.12</v>
      </c>
      <c r="E15" s="10">
        <f t="shared" ref="E15:E18" si="7">+C15/0.7</f>
        <v>1147928</v>
      </c>
      <c r="F15" s="10">
        <f t="shared" ref="F15:F18" si="8">+C15*5%</f>
        <v>40177.480000000003</v>
      </c>
      <c r="G15" s="9">
        <v>0.85</v>
      </c>
      <c r="H15" s="11">
        <f t="shared" si="4"/>
        <v>683017.15999999992</v>
      </c>
      <c r="I15" s="12"/>
      <c r="J15" s="9"/>
      <c r="K15" s="23">
        <v>573964</v>
      </c>
      <c r="M15" s="24"/>
      <c r="N15" s="25"/>
    </row>
    <row r="16" spans="1:14" ht="28.5" x14ac:dyDescent="0.2">
      <c r="A16" s="14" t="s">
        <v>638</v>
      </c>
      <c r="B16" s="14" t="s">
        <v>639</v>
      </c>
      <c r="C16" s="10">
        <f t="shared" si="5"/>
        <v>1227490.6000000001</v>
      </c>
      <c r="D16" s="10">
        <f t="shared" si="6"/>
        <v>1166116.07</v>
      </c>
      <c r="E16" s="10">
        <f t="shared" si="7"/>
        <v>1753558.0000000002</v>
      </c>
      <c r="F16" s="10">
        <f t="shared" si="8"/>
        <v>61374.530000000006</v>
      </c>
      <c r="G16" s="9">
        <v>0.85</v>
      </c>
      <c r="H16" s="11">
        <f t="shared" si="4"/>
        <v>1043367.01</v>
      </c>
      <c r="I16" s="12"/>
      <c r="J16" s="9"/>
      <c r="K16" s="23">
        <v>876779</v>
      </c>
      <c r="M16" s="24"/>
      <c r="N16" s="25"/>
    </row>
    <row r="17" spans="1:14" ht="28.5" x14ac:dyDescent="0.2">
      <c r="A17" s="14" t="s">
        <v>640</v>
      </c>
      <c r="B17" s="14" t="s">
        <v>641</v>
      </c>
      <c r="C17" s="10">
        <f t="shared" si="5"/>
        <v>1260144.2000000002</v>
      </c>
      <c r="D17" s="10">
        <f t="shared" si="6"/>
        <v>1197136.9900000002</v>
      </c>
      <c r="E17" s="10">
        <f t="shared" si="7"/>
        <v>1800206.0000000005</v>
      </c>
      <c r="F17" s="10">
        <f t="shared" si="8"/>
        <v>63007.210000000014</v>
      </c>
      <c r="G17" s="9">
        <v>0.85</v>
      </c>
      <c r="H17" s="11">
        <f t="shared" si="4"/>
        <v>1071122.57</v>
      </c>
      <c r="I17" s="12"/>
      <c r="J17" s="9"/>
      <c r="K17" s="23">
        <v>900103</v>
      </c>
      <c r="M17" s="24"/>
      <c r="N17" s="25"/>
    </row>
    <row r="18" spans="1:14" ht="28.5" x14ac:dyDescent="0.2">
      <c r="A18" s="14" t="s">
        <v>642</v>
      </c>
      <c r="B18" s="14" t="s">
        <v>643</v>
      </c>
      <c r="C18" s="10">
        <f t="shared" si="5"/>
        <v>1487620.4</v>
      </c>
      <c r="D18" s="10">
        <f t="shared" si="6"/>
        <v>1413239.38</v>
      </c>
      <c r="E18" s="10">
        <f t="shared" si="7"/>
        <v>2125172</v>
      </c>
      <c r="F18" s="10">
        <f t="shared" si="8"/>
        <v>74381.02</v>
      </c>
      <c r="G18" s="9">
        <v>0.85</v>
      </c>
      <c r="H18" s="11">
        <f t="shared" si="4"/>
        <v>1264477.3399999999</v>
      </c>
      <c r="I18" s="12"/>
      <c r="J18" s="9"/>
      <c r="K18" s="23">
        <v>1062586</v>
      </c>
      <c r="M18" s="24"/>
      <c r="N18" s="25"/>
    </row>
    <row r="19" spans="1:14" ht="15" x14ac:dyDescent="0.2">
      <c r="A19" s="31" t="s">
        <v>612</v>
      </c>
      <c r="B19" s="31"/>
      <c r="C19" s="31"/>
      <c r="D19" s="31"/>
      <c r="E19" s="31"/>
      <c r="F19" s="31"/>
      <c r="G19" s="9"/>
      <c r="H19" s="11"/>
      <c r="I19" s="12"/>
      <c r="J19" s="9"/>
      <c r="K19" s="16"/>
      <c r="M19" s="24"/>
    </row>
    <row r="20" spans="1:14" ht="28.5" x14ac:dyDescent="0.2">
      <c r="A20" s="14" t="s">
        <v>12</v>
      </c>
      <c r="B20" s="14" t="s">
        <v>13</v>
      </c>
      <c r="C20" s="10">
        <f t="shared" si="0"/>
        <v>54422.2</v>
      </c>
      <c r="D20" s="10">
        <f t="shared" si="1"/>
        <v>51701.09</v>
      </c>
      <c r="E20" s="10">
        <f t="shared" si="2"/>
        <v>77746</v>
      </c>
      <c r="F20" s="10">
        <f t="shared" si="3"/>
        <v>2721.11</v>
      </c>
      <c r="G20" s="9">
        <v>0.85</v>
      </c>
      <c r="H20" s="11">
        <f t="shared" si="4"/>
        <v>46258.869999999995</v>
      </c>
      <c r="I20" s="12"/>
      <c r="J20" s="9"/>
      <c r="K20" s="23">
        <v>38873</v>
      </c>
    </row>
    <row r="21" spans="1:14" ht="28.5" x14ac:dyDescent="0.2">
      <c r="A21" s="14" t="s">
        <v>14</v>
      </c>
      <c r="B21" s="14" t="s">
        <v>15</v>
      </c>
      <c r="C21" s="10">
        <f t="shared" si="0"/>
        <v>82552.399999999994</v>
      </c>
      <c r="D21" s="10">
        <f t="shared" si="1"/>
        <v>78424.78</v>
      </c>
      <c r="E21" s="10">
        <f t="shared" si="2"/>
        <v>117932</v>
      </c>
      <c r="F21" s="10">
        <f t="shared" si="3"/>
        <v>4127.62</v>
      </c>
      <c r="G21" s="9">
        <v>0.85</v>
      </c>
      <c r="H21" s="11">
        <f t="shared" si="4"/>
        <v>70169.539999999994</v>
      </c>
      <c r="I21" s="12"/>
      <c r="J21" s="9"/>
      <c r="K21" s="23">
        <v>58966</v>
      </c>
    </row>
    <row r="22" spans="1:14" ht="15" x14ac:dyDescent="0.2">
      <c r="A22" s="31" t="s">
        <v>16</v>
      </c>
      <c r="B22" s="31"/>
      <c r="C22" s="31"/>
      <c r="D22" s="31"/>
      <c r="E22" s="31"/>
      <c r="F22" s="31"/>
      <c r="G22" s="9"/>
      <c r="H22" s="11"/>
      <c r="I22" s="12"/>
      <c r="J22" s="9"/>
      <c r="K22" s="18"/>
    </row>
    <row r="23" spans="1:14" ht="28.5" x14ac:dyDescent="0.2">
      <c r="A23" s="14" t="s">
        <v>17</v>
      </c>
      <c r="B23" s="14" t="s">
        <v>18</v>
      </c>
      <c r="C23" s="10">
        <f t="shared" ref="C23:C34" si="9">+H23/G23</f>
        <v>26408.48</v>
      </c>
      <c r="D23" s="10">
        <f t="shared" si="1"/>
        <v>25088.056</v>
      </c>
      <c r="E23" s="10">
        <f t="shared" si="2"/>
        <v>37726.400000000001</v>
      </c>
      <c r="F23" s="10">
        <f t="shared" si="3"/>
        <v>1320.424</v>
      </c>
      <c r="G23" s="9">
        <v>1</v>
      </c>
      <c r="H23" s="11">
        <f t="shared" si="4"/>
        <v>26408.48</v>
      </c>
      <c r="I23" s="12"/>
      <c r="J23" s="9"/>
      <c r="K23" s="23">
        <v>22192</v>
      </c>
      <c r="M23" s="24"/>
    </row>
    <row r="24" spans="1:14" ht="28.5" x14ac:dyDescent="0.2">
      <c r="A24" s="14" t="s">
        <v>19</v>
      </c>
      <c r="B24" s="14" t="s">
        <v>20</v>
      </c>
      <c r="C24" s="10">
        <f t="shared" si="9"/>
        <v>8250.2000000000007</v>
      </c>
      <c r="D24" s="10">
        <f t="shared" si="1"/>
        <v>7837.6900000000005</v>
      </c>
      <c r="E24" s="10">
        <f t="shared" si="2"/>
        <v>11786.000000000002</v>
      </c>
      <c r="F24" s="10">
        <f t="shared" si="3"/>
        <v>412.51000000000005</v>
      </c>
      <c r="G24" s="9">
        <v>0.85</v>
      </c>
      <c r="H24" s="11">
        <f t="shared" si="4"/>
        <v>7012.67</v>
      </c>
      <c r="I24" s="12"/>
      <c r="J24" s="9"/>
      <c r="K24" s="23">
        <v>5893</v>
      </c>
      <c r="M24" s="24"/>
    </row>
    <row r="25" spans="1:14" ht="28.5" x14ac:dyDescent="0.2">
      <c r="A25" s="14" t="s">
        <v>21</v>
      </c>
      <c r="B25" s="14" t="s">
        <v>22</v>
      </c>
      <c r="C25" s="10">
        <f t="shared" si="9"/>
        <v>14810.6</v>
      </c>
      <c r="D25" s="10">
        <f t="shared" si="1"/>
        <v>14070.07</v>
      </c>
      <c r="E25" s="10">
        <f t="shared" si="2"/>
        <v>21158.000000000004</v>
      </c>
      <c r="F25" s="10">
        <f t="shared" si="3"/>
        <v>740.53000000000009</v>
      </c>
      <c r="G25" s="9">
        <v>0.85</v>
      </c>
      <c r="H25" s="11">
        <f t="shared" si="4"/>
        <v>12589.01</v>
      </c>
      <c r="I25" s="12"/>
      <c r="J25" s="9"/>
      <c r="K25" s="23">
        <v>10579</v>
      </c>
      <c r="M25" s="24"/>
    </row>
    <row r="26" spans="1:14" ht="28.5" x14ac:dyDescent="0.2">
      <c r="A26" s="14" t="s">
        <v>23</v>
      </c>
      <c r="B26" s="14" t="s">
        <v>24</v>
      </c>
      <c r="C26" s="10">
        <f t="shared" si="9"/>
        <v>15705.2</v>
      </c>
      <c r="D26" s="10">
        <f t="shared" si="1"/>
        <v>14919.94</v>
      </c>
      <c r="E26" s="10">
        <f t="shared" si="2"/>
        <v>22436.000000000004</v>
      </c>
      <c r="F26" s="10">
        <f t="shared" si="3"/>
        <v>785.2600000000001</v>
      </c>
      <c r="G26" s="9">
        <v>0.85</v>
      </c>
      <c r="H26" s="11">
        <f t="shared" si="4"/>
        <v>13349.42</v>
      </c>
      <c r="I26" s="12"/>
      <c r="J26" s="9"/>
      <c r="K26" s="23">
        <v>11218</v>
      </c>
      <c r="M26" s="24"/>
    </row>
    <row r="27" spans="1:14" ht="28.5" x14ac:dyDescent="0.2">
      <c r="A27" s="14" t="s">
        <v>25</v>
      </c>
      <c r="B27" s="14" t="s">
        <v>26</v>
      </c>
      <c r="C27" s="10">
        <f t="shared" si="9"/>
        <v>14860.999999999998</v>
      </c>
      <c r="D27" s="10">
        <f t="shared" si="1"/>
        <v>14117.949999999999</v>
      </c>
      <c r="E27" s="10">
        <f t="shared" si="2"/>
        <v>21230</v>
      </c>
      <c r="F27" s="10">
        <f t="shared" si="3"/>
        <v>743.05</v>
      </c>
      <c r="G27" s="9">
        <v>0.85</v>
      </c>
      <c r="H27" s="11">
        <f t="shared" si="4"/>
        <v>12631.849999999999</v>
      </c>
      <c r="I27" s="12"/>
      <c r="J27" s="9"/>
      <c r="K27" s="23">
        <v>10615</v>
      </c>
      <c r="M27" s="24"/>
    </row>
    <row r="28" spans="1:14" ht="28.5" x14ac:dyDescent="0.2">
      <c r="A28" s="14" t="s">
        <v>27</v>
      </c>
      <c r="B28" s="14" t="s">
        <v>28</v>
      </c>
      <c r="C28" s="10">
        <f t="shared" si="9"/>
        <v>15804.6</v>
      </c>
      <c r="D28" s="10">
        <f t="shared" si="1"/>
        <v>15014.37</v>
      </c>
      <c r="E28" s="10">
        <f t="shared" si="2"/>
        <v>22578.000000000004</v>
      </c>
      <c r="F28" s="10">
        <f t="shared" si="3"/>
        <v>790.23</v>
      </c>
      <c r="G28" s="9">
        <v>0.85</v>
      </c>
      <c r="H28" s="11">
        <f t="shared" si="4"/>
        <v>13433.91</v>
      </c>
      <c r="I28" s="12"/>
      <c r="J28" s="9"/>
      <c r="K28" s="23">
        <v>11289</v>
      </c>
      <c r="M28" s="24"/>
    </row>
    <row r="29" spans="1:14" ht="28.5" x14ac:dyDescent="0.2">
      <c r="A29" s="14" t="s">
        <v>29</v>
      </c>
      <c r="B29" s="14" t="s">
        <v>30</v>
      </c>
      <c r="C29" s="10">
        <f t="shared" si="9"/>
        <v>21669.200000000001</v>
      </c>
      <c r="D29" s="10">
        <f t="shared" si="1"/>
        <v>20585.740000000002</v>
      </c>
      <c r="E29" s="10">
        <f t="shared" si="2"/>
        <v>30956.000000000004</v>
      </c>
      <c r="F29" s="10">
        <f t="shared" si="3"/>
        <v>1083.46</v>
      </c>
      <c r="G29" s="9">
        <v>0.85</v>
      </c>
      <c r="H29" s="11">
        <f t="shared" si="4"/>
        <v>18418.82</v>
      </c>
      <c r="I29" s="12"/>
      <c r="J29" s="9"/>
      <c r="K29" s="23">
        <v>15478</v>
      </c>
      <c r="M29" s="24"/>
    </row>
    <row r="30" spans="1:14" ht="28.5" x14ac:dyDescent="0.2">
      <c r="A30" s="14" t="s">
        <v>31</v>
      </c>
      <c r="B30" s="14" t="s">
        <v>32</v>
      </c>
      <c r="C30" s="10">
        <f t="shared" si="9"/>
        <v>21470.400000000001</v>
      </c>
      <c r="D30" s="10">
        <f t="shared" si="1"/>
        <v>20396.88</v>
      </c>
      <c r="E30" s="10">
        <f t="shared" si="2"/>
        <v>30672.000000000004</v>
      </c>
      <c r="F30" s="10">
        <f t="shared" si="3"/>
        <v>1073.5200000000002</v>
      </c>
      <c r="G30" s="9">
        <v>0.85</v>
      </c>
      <c r="H30" s="11">
        <f t="shared" si="4"/>
        <v>18249.84</v>
      </c>
      <c r="I30" s="12"/>
      <c r="J30" s="9"/>
      <c r="K30" s="23">
        <v>15336</v>
      </c>
      <c r="M30" s="24"/>
    </row>
    <row r="31" spans="1:14" ht="28.5" x14ac:dyDescent="0.2">
      <c r="A31" s="14" t="s">
        <v>33</v>
      </c>
      <c r="B31" s="14" t="s">
        <v>34</v>
      </c>
      <c r="C31" s="10">
        <f t="shared" si="9"/>
        <v>21918.400000000001</v>
      </c>
      <c r="D31" s="10">
        <f t="shared" si="1"/>
        <v>20822.480000000003</v>
      </c>
      <c r="E31" s="10">
        <f t="shared" si="2"/>
        <v>31312.000000000004</v>
      </c>
      <c r="F31" s="10">
        <f t="shared" si="3"/>
        <v>1095.92</v>
      </c>
      <c r="G31" s="9">
        <v>0.85</v>
      </c>
      <c r="H31" s="11">
        <f t="shared" si="4"/>
        <v>18630.64</v>
      </c>
      <c r="I31" s="12"/>
      <c r="J31" s="9"/>
      <c r="K31" s="23">
        <v>15656</v>
      </c>
      <c r="M31" s="24"/>
    </row>
    <row r="32" spans="1:14" ht="28.5" x14ac:dyDescent="0.2">
      <c r="A32" s="14" t="s">
        <v>35</v>
      </c>
      <c r="B32" s="14" t="s">
        <v>36</v>
      </c>
      <c r="C32" s="10">
        <f t="shared" si="9"/>
        <v>27484.799999999999</v>
      </c>
      <c r="D32" s="10">
        <f t="shared" si="1"/>
        <v>26110.559999999998</v>
      </c>
      <c r="E32" s="10">
        <f t="shared" si="2"/>
        <v>39264</v>
      </c>
      <c r="F32" s="10">
        <f t="shared" si="3"/>
        <v>1374.24</v>
      </c>
      <c r="G32" s="9">
        <v>0.85</v>
      </c>
      <c r="H32" s="11">
        <f t="shared" si="4"/>
        <v>23362.079999999998</v>
      </c>
      <c r="I32" s="12"/>
      <c r="J32" s="9"/>
      <c r="K32" s="23">
        <v>19632</v>
      </c>
      <c r="M32" s="24"/>
    </row>
    <row r="33" spans="1:13" ht="28.5" x14ac:dyDescent="0.2">
      <c r="A33" s="14" t="s">
        <v>37</v>
      </c>
      <c r="B33" s="14" t="s">
        <v>38</v>
      </c>
      <c r="C33" s="10">
        <f t="shared" si="9"/>
        <v>27087.200000000001</v>
      </c>
      <c r="D33" s="10">
        <f t="shared" si="1"/>
        <v>25732.84</v>
      </c>
      <c r="E33" s="10">
        <f t="shared" si="2"/>
        <v>38696</v>
      </c>
      <c r="F33" s="10">
        <f t="shared" si="3"/>
        <v>1354.3600000000001</v>
      </c>
      <c r="G33" s="9">
        <v>0.85</v>
      </c>
      <c r="H33" s="11">
        <f t="shared" si="4"/>
        <v>23024.12</v>
      </c>
      <c r="I33" s="12"/>
      <c r="J33" s="9"/>
      <c r="K33" s="23">
        <v>19348</v>
      </c>
      <c r="M33" s="24"/>
    </row>
    <row r="34" spans="1:13" ht="28.5" x14ac:dyDescent="0.2">
      <c r="A34" s="14" t="s">
        <v>39</v>
      </c>
      <c r="B34" s="14" t="s">
        <v>40</v>
      </c>
      <c r="C34" s="10">
        <f t="shared" si="9"/>
        <v>38865.399999999994</v>
      </c>
      <c r="D34" s="10">
        <f t="shared" si="1"/>
        <v>36922.129999999997</v>
      </c>
      <c r="E34" s="10">
        <f t="shared" si="2"/>
        <v>55521.999999999993</v>
      </c>
      <c r="F34" s="10">
        <f t="shared" si="3"/>
        <v>1943.2699999999998</v>
      </c>
      <c r="G34" s="9">
        <v>0.85</v>
      </c>
      <c r="H34" s="11">
        <f t="shared" si="4"/>
        <v>33035.589999999997</v>
      </c>
      <c r="I34" s="12"/>
      <c r="J34" s="9"/>
      <c r="K34" s="23">
        <v>27761</v>
      </c>
      <c r="M34" s="24"/>
    </row>
    <row r="35" spans="1:13" ht="15" x14ac:dyDescent="0.2">
      <c r="A35" s="31" t="s">
        <v>41</v>
      </c>
      <c r="B35" s="31"/>
      <c r="C35" s="31"/>
      <c r="D35" s="31"/>
      <c r="E35" s="31"/>
      <c r="F35" s="31"/>
      <c r="G35" s="9"/>
      <c r="H35" s="11"/>
      <c r="I35" s="12"/>
      <c r="J35" s="9"/>
      <c r="K35" s="18"/>
    </row>
    <row r="36" spans="1:13" x14ac:dyDescent="0.2">
      <c r="A36" s="33" t="s">
        <v>44</v>
      </c>
      <c r="B36" s="33" t="s">
        <v>644</v>
      </c>
      <c r="C36" s="10">
        <f t="shared" ref="C36:C41" si="10">+H36/G36</f>
        <v>135532.6</v>
      </c>
      <c r="D36" s="10">
        <f t="shared" si="1"/>
        <v>128755.97</v>
      </c>
      <c r="E36" s="10">
        <f t="shared" si="2"/>
        <v>193618.00000000003</v>
      </c>
      <c r="F36" s="10">
        <f t="shared" si="3"/>
        <v>6776.630000000001</v>
      </c>
      <c r="G36" s="9">
        <v>0.85</v>
      </c>
      <c r="H36" s="11">
        <f t="shared" si="4"/>
        <v>115202.70999999999</v>
      </c>
      <c r="I36" s="12"/>
      <c r="J36" s="9"/>
      <c r="K36" s="32">
        <v>96809</v>
      </c>
    </row>
    <row r="37" spans="1:13" x14ac:dyDescent="0.2">
      <c r="A37" s="33" t="s">
        <v>42</v>
      </c>
      <c r="B37" s="33" t="s">
        <v>43</v>
      </c>
      <c r="C37" s="10">
        <f t="shared" si="10"/>
        <v>122556.07446808511</v>
      </c>
      <c r="D37" s="10">
        <f t="shared" si="1"/>
        <v>116428.27074468085</v>
      </c>
      <c r="E37" s="10">
        <f t="shared" si="2"/>
        <v>175080.10638297873</v>
      </c>
      <c r="F37" s="10">
        <f t="shared" si="3"/>
        <v>6127.8037234042558</v>
      </c>
      <c r="G37" s="9">
        <v>0.94</v>
      </c>
      <c r="H37" s="11">
        <f t="shared" si="4"/>
        <v>115202.70999999999</v>
      </c>
      <c r="I37" s="12"/>
      <c r="J37" s="9"/>
      <c r="K37" s="23">
        <v>96809</v>
      </c>
    </row>
    <row r="38" spans="1:13" ht="28.5" x14ac:dyDescent="0.2">
      <c r="A38" s="33" t="s">
        <v>45</v>
      </c>
      <c r="B38" s="33" t="s">
        <v>46</v>
      </c>
      <c r="C38" s="10">
        <f t="shared" si="10"/>
        <v>169896.15662650604</v>
      </c>
      <c r="D38" s="10">
        <f t="shared" si="1"/>
        <v>161401.34879518073</v>
      </c>
      <c r="E38" s="10">
        <f t="shared" si="2"/>
        <v>242708.79518072293</v>
      </c>
      <c r="F38" s="10">
        <f t="shared" si="3"/>
        <v>8494.8078313253027</v>
      </c>
      <c r="G38" s="9">
        <v>0.83</v>
      </c>
      <c r="H38" s="11">
        <f t="shared" si="4"/>
        <v>141013.81</v>
      </c>
      <c r="I38" s="12"/>
      <c r="J38" s="9"/>
      <c r="K38" s="23">
        <v>118499</v>
      </c>
    </row>
    <row r="39" spans="1:13" x14ac:dyDescent="0.2">
      <c r="A39" s="33" t="s">
        <v>47</v>
      </c>
      <c r="B39" s="33" t="s">
        <v>48</v>
      </c>
      <c r="C39" s="10">
        <f t="shared" si="10"/>
        <v>342085.8</v>
      </c>
      <c r="D39" s="10">
        <f t="shared" si="1"/>
        <v>324981.51</v>
      </c>
      <c r="E39" s="10">
        <f t="shared" si="2"/>
        <v>488694</v>
      </c>
      <c r="F39" s="10">
        <f t="shared" si="3"/>
        <v>17104.29</v>
      </c>
      <c r="G39" s="9">
        <v>0.85</v>
      </c>
      <c r="H39" s="11">
        <f t="shared" si="4"/>
        <v>290772.93</v>
      </c>
      <c r="I39" s="12"/>
      <c r="J39" s="9"/>
      <c r="K39" s="23">
        <v>244347</v>
      </c>
    </row>
    <row r="40" spans="1:13" x14ac:dyDescent="0.2">
      <c r="A40" s="33" t="s">
        <v>49</v>
      </c>
      <c r="B40" s="33" t="s">
        <v>50</v>
      </c>
      <c r="C40" s="10">
        <f t="shared" si="10"/>
        <v>478860.2</v>
      </c>
      <c r="D40" s="10">
        <f t="shared" si="1"/>
        <v>454917.19</v>
      </c>
      <c r="E40" s="10">
        <f t="shared" si="2"/>
        <v>684086.00000000012</v>
      </c>
      <c r="F40" s="10">
        <f t="shared" si="3"/>
        <v>23943.010000000002</v>
      </c>
      <c r="G40" s="9">
        <v>0.85</v>
      </c>
      <c r="H40" s="11">
        <f t="shared" si="4"/>
        <v>407031.17</v>
      </c>
      <c r="I40" s="12"/>
      <c r="J40" s="17"/>
      <c r="K40" s="23">
        <v>342043</v>
      </c>
    </row>
    <row r="41" spans="1:13" ht="28.5" x14ac:dyDescent="0.2">
      <c r="A41" s="33" t="s">
        <v>51</v>
      </c>
      <c r="B41" s="33" t="s">
        <v>52</v>
      </c>
      <c r="C41" s="10">
        <f t="shared" si="10"/>
        <v>1504518.4</v>
      </c>
      <c r="D41" s="10">
        <f t="shared" si="1"/>
        <v>1429292.48</v>
      </c>
      <c r="E41" s="10">
        <f t="shared" si="2"/>
        <v>2149312</v>
      </c>
      <c r="F41" s="10">
        <f t="shared" si="3"/>
        <v>75225.919999999998</v>
      </c>
      <c r="G41" s="9">
        <v>0.85</v>
      </c>
      <c r="H41" s="11">
        <f t="shared" si="4"/>
        <v>1278840.6399999999</v>
      </c>
      <c r="I41" s="12"/>
      <c r="J41" s="17"/>
      <c r="K41" s="23">
        <v>1074656</v>
      </c>
    </row>
    <row r="42" spans="1:13" ht="15" x14ac:dyDescent="0.2">
      <c r="A42" s="31" t="s">
        <v>53</v>
      </c>
      <c r="B42" s="31"/>
      <c r="C42" s="31"/>
      <c r="D42" s="31"/>
      <c r="E42" s="31"/>
      <c r="F42" s="31"/>
      <c r="G42" s="9"/>
      <c r="H42" s="11"/>
      <c r="I42" s="12"/>
      <c r="J42" s="19"/>
      <c r="K42" s="18"/>
    </row>
    <row r="43" spans="1:13" ht="28.5" x14ac:dyDescent="0.2">
      <c r="A43" s="14" t="s">
        <v>54</v>
      </c>
      <c r="B43" s="14" t="s">
        <v>55</v>
      </c>
      <c r="C43" s="10">
        <f t="shared" ref="C43:C58" si="11">+H43/G43</f>
        <v>941666.6</v>
      </c>
      <c r="D43" s="10">
        <f t="shared" si="1"/>
        <v>894583.27</v>
      </c>
      <c r="E43" s="10">
        <f t="shared" si="2"/>
        <v>1345238</v>
      </c>
      <c r="F43" s="10">
        <f t="shared" si="3"/>
        <v>47083.33</v>
      </c>
      <c r="G43" s="9">
        <v>0.85</v>
      </c>
      <c r="H43" s="11">
        <f t="shared" si="4"/>
        <v>800416.61</v>
      </c>
      <c r="I43" s="12"/>
      <c r="J43" s="17"/>
      <c r="K43" s="23">
        <v>672619</v>
      </c>
    </row>
    <row r="44" spans="1:13" ht="28.5" x14ac:dyDescent="0.2">
      <c r="A44" s="14" t="s">
        <v>56</v>
      </c>
      <c r="B44" s="14" t="s">
        <v>57</v>
      </c>
      <c r="C44" s="10">
        <f t="shared" si="11"/>
        <v>1065866.2</v>
      </c>
      <c r="D44" s="10">
        <f t="shared" si="1"/>
        <v>1012572.8899999999</v>
      </c>
      <c r="E44" s="10">
        <f t="shared" si="2"/>
        <v>1522666</v>
      </c>
      <c r="F44" s="10">
        <f t="shared" si="3"/>
        <v>53293.31</v>
      </c>
      <c r="G44" s="9">
        <v>0.85</v>
      </c>
      <c r="H44" s="11">
        <f t="shared" si="4"/>
        <v>905986.2699999999</v>
      </c>
      <c r="I44" s="12"/>
      <c r="J44" s="19"/>
      <c r="K44" s="23">
        <v>761333</v>
      </c>
    </row>
    <row r="45" spans="1:13" ht="28.5" x14ac:dyDescent="0.2">
      <c r="A45" s="14" t="s">
        <v>58</v>
      </c>
      <c r="B45" s="14" t="s">
        <v>59</v>
      </c>
      <c r="C45" s="10">
        <f t="shared" si="11"/>
        <v>1440703.6</v>
      </c>
      <c r="D45" s="10">
        <f t="shared" si="1"/>
        <v>1368668.4200000002</v>
      </c>
      <c r="E45" s="10">
        <f t="shared" si="2"/>
        <v>2058148.0000000002</v>
      </c>
      <c r="F45" s="10">
        <f t="shared" si="3"/>
        <v>72035.180000000008</v>
      </c>
      <c r="G45" s="9">
        <v>0.85</v>
      </c>
      <c r="H45" s="11">
        <f t="shared" si="4"/>
        <v>1224598.06</v>
      </c>
      <c r="I45" s="12"/>
      <c r="J45" s="9"/>
      <c r="K45" s="23">
        <v>1029074</v>
      </c>
    </row>
    <row r="46" spans="1:13" x14ac:dyDescent="0.2">
      <c r="A46" s="14" t="s">
        <v>60</v>
      </c>
      <c r="B46" s="14" t="s">
        <v>61</v>
      </c>
      <c r="C46" s="10">
        <f t="shared" si="11"/>
        <v>815080</v>
      </c>
      <c r="D46" s="10">
        <f t="shared" si="1"/>
        <v>774326</v>
      </c>
      <c r="E46" s="10">
        <f t="shared" si="2"/>
        <v>1164400</v>
      </c>
      <c r="F46" s="10">
        <f t="shared" si="3"/>
        <v>40754</v>
      </c>
      <c r="G46" s="9">
        <v>0.85</v>
      </c>
      <c r="H46" s="11">
        <f t="shared" si="4"/>
        <v>692818</v>
      </c>
      <c r="I46" s="12"/>
      <c r="J46" s="9"/>
      <c r="K46" s="23">
        <v>582200</v>
      </c>
    </row>
    <row r="47" spans="1:13" ht="28.5" x14ac:dyDescent="0.2">
      <c r="A47" s="14" t="s">
        <v>62</v>
      </c>
      <c r="B47" s="14" t="s">
        <v>63</v>
      </c>
      <c r="C47" s="10">
        <f t="shared" si="11"/>
        <v>1665645.8</v>
      </c>
      <c r="D47" s="10">
        <f t="shared" si="1"/>
        <v>1582363.51</v>
      </c>
      <c r="E47" s="10">
        <f t="shared" si="2"/>
        <v>2379494</v>
      </c>
      <c r="F47" s="10">
        <f t="shared" si="3"/>
        <v>83282.290000000008</v>
      </c>
      <c r="G47" s="9">
        <v>0.85</v>
      </c>
      <c r="H47" s="11">
        <f t="shared" si="4"/>
        <v>1415798.93</v>
      </c>
      <c r="I47" s="12"/>
      <c r="J47" s="9"/>
      <c r="K47" s="23">
        <v>1189747</v>
      </c>
    </row>
    <row r="48" spans="1:13" x14ac:dyDescent="0.2">
      <c r="A48" s="14" t="s">
        <v>64</v>
      </c>
      <c r="B48" s="14" t="s">
        <v>65</v>
      </c>
      <c r="C48" s="10">
        <f t="shared" si="11"/>
        <v>1368689</v>
      </c>
      <c r="D48" s="10">
        <f t="shared" si="1"/>
        <v>1300254.55</v>
      </c>
      <c r="E48" s="10">
        <f t="shared" si="2"/>
        <v>1955270.0000000002</v>
      </c>
      <c r="F48" s="10">
        <f t="shared" si="3"/>
        <v>68434.45</v>
      </c>
      <c r="G48" s="9">
        <v>0.85</v>
      </c>
      <c r="H48" s="11">
        <f t="shared" si="4"/>
        <v>1163385.6499999999</v>
      </c>
      <c r="I48" s="12"/>
      <c r="J48" s="9"/>
      <c r="K48" s="23">
        <v>977635</v>
      </c>
    </row>
    <row r="49" spans="1:11" ht="28.5" x14ac:dyDescent="0.2">
      <c r="A49" s="14" t="s">
        <v>66</v>
      </c>
      <c r="B49" s="14" t="s">
        <v>67</v>
      </c>
      <c r="C49" s="10">
        <f t="shared" si="11"/>
        <v>2202158</v>
      </c>
      <c r="D49" s="10">
        <f t="shared" si="1"/>
        <v>2092050.1</v>
      </c>
      <c r="E49" s="10">
        <f t="shared" si="2"/>
        <v>3145940</v>
      </c>
      <c r="F49" s="10">
        <f t="shared" si="3"/>
        <v>110107.90000000001</v>
      </c>
      <c r="G49" s="9">
        <v>0.85</v>
      </c>
      <c r="H49" s="11">
        <f t="shared" si="4"/>
        <v>1871834.2999999998</v>
      </c>
      <c r="I49" s="12"/>
      <c r="J49" s="9"/>
      <c r="K49" s="23">
        <v>1572970</v>
      </c>
    </row>
    <row r="50" spans="1:11" ht="28.5" x14ac:dyDescent="0.2">
      <c r="A50" s="14" t="s">
        <v>68</v>
      </c>
      <c r="B50" s="14" t="s">
        <v>69</v>
      </c>
      <c r="C50" s="10">
        <f t="shared" si="11"/>
        <v>2004997.4000000001</v>
      </c>
      <c r="D50" s="10">
        <f t="shared" si="1"/>
        <v>1904747.53</v>
      </c>
      <c r="E50" s="10">
        <f t="shared" si="2"/>
        <v>2864282.0000000005</v>
      </c>
      <c r="F50" s="10">
        <f t="shared" si="3"/>
        <v>100249.87000000001</v>
      </c>
      <c r="G50" s="9">
        <v>0.85</v>
      </c>
      <c r="H50" s="11">
        <f t="shared" si="4"/>
        <v>1704247.79</v>
      </c>
      <c r="I50" s="12"/>
      <c r="J50" s="9"/>
      <c r="K50" s="23">
        <v>1432141</v>
      </c>
    </row>
    <row r="51" spans="1:11" ht="28.5" x14ac:dyDescent="0.2">
      <c r="A51" s="14" t="s">
        <v>70</v>
      </c>
      <c r="B51" s="14" t="s">
        <v>71</v>
      </c>
      <c r="C51" s="10">
        <f t="shared" si="11"/>
        <v>2494641.7999999998</v>
      </c>
      <c r="D51" s="10">
        <f t="shared" si="1"/>
        <v>2369909.71</v>
      </c>
      <c r="E51" s="10">
        <f t="shared" si="2"/>
        <v>3563774</v>
      </c>
      <c r="F51" s="10">
        <f t="shared" si="3"/>
        <v>124732.09</v>
      </c>
      <c r="G51" s="9">
        <v>0.85</v>
      </c>
      <c r="H51" s="11">
        <f t="shared" si="4"/>
        <v>2120445.5299999998</v>
      </c>
      <c r="I51" s="12"/>
      <c r="J51" s="9"/>
      <c r="K51" s="23">
        <v>1781887</v>
      </c>
    </row>
    <row r="52" spans="1:11" x14ac:dyDescent="0.2">
      <c r="A52" s="14" t="s">
        <v>72</v>
      </c>
      <c r="B52" s="14" t="s">
        <v>73</v>
      </c>
      <c r="C52" s="10">
        <f t="shared" si="11"/>
        <v>1811714.7999999998</v>
      </c>
      <c r="D52" s="10">
        <f t="shared" si="1"/>
        <v>1721129.0599999998</v>
      </c>
      <c r="E52" s="10">
        <f t="shared" si="2"/>
        <v>2588164</v>
      </c>
      <c r="F52" s="10">
        <f t="shared" si="3"/>
        <v>90585.739999999991</v>
      </c>
      <c r="G52" s="9">
        <v>0.85</v>
      </c>
      <c r="H52" s="11">
        <f t="shared" si="4"/>
        <v>1539957.5799999998</v>
      </c>
      <c r="I52" s="12"/>
      <c r="J52" s="9"/>
      <c r="K52" s="23">
        <v>1294082</v>
      </c>
    </row>
    <row r="53" spans="1:11" ht="28.5" x14ac:dyDescent="0.2">
      <c r="A53" s="14" t="s">
        <v>74</v>
      </c>
      <c r="B53" s="14" t="s">
        <v>75</v>
      </c>
      <c r="C53" s="10">
        <f t="shared" si="11"/>
        <v>6234915.4000000004</v>
      </c>
      <c r="D53" s="10">
        <f t="shared" si="1"/>
        <v>5923169.6300000008</v>
      </c>
      <c r="E53" s="10">
        <f t="shared" si="2"/>
        <v>8907022.0000000019</v>
      </c>
      <c r="F53" s="10">
        <f t="shared" si="3"/>
        <v>311745.77</v>
      </c>
      <c r="G53" s="9">
        <v>0.85</v>
      </c>
      <c r="H53" s="11">
        <f t="shared" si="4"/>
        <v>5299678.09</v>
      </c>
      <c r="I53" s="12"/>
      <c r="J53" s="9"/>
      <c r="K53" s="23">
        <v>4453511</v>
      </c>
    </row>
    <row r="54" spans="1:11" ht="28.5" x14ac:dyDescent="0.2">
      <c r="A54" s="14" t="s">
        <v>76</v>
      </c>
      <c r="B54" s="14" t="s">
        <v>77</v>
      </c>
      <c r="C54" s="10">
        <f t="shared" si="11"/>
        <v>8246323.3999999994</v>
      </c>
      <c r="D54" s="10">
        <f t="shared" si="1"/>
        <v>7834007.2299999995</v>
      </c>
      <c r="E54" s="10">
        <f t="shared" si="2"/>
        <v>11780462</v>
      </c>
      <c r="F54" s="10">
        <f t="shared" si="3"/>
        <v>412316.17</v>
      </c>
      <c r="G54" s="9">
        <v>0.85</v>
      </c>
      <c r="H54" s="11">
        <f t="shared" si="4"/>
        <v>7009374.8899999997</v>
      </c>
      <c r="I54" s="12"/>
      <c r="J54" s="9"/>
      <c r="K54" s="23">
        <v>5890231</v>
      </c>
    </row>
    <row r="55" spans="1:11" x14ac:dyDescent="0.2">
      <c r="A55" s="14" t="s">
        <v>78</v>
      </c>
      <c r="B55" s="14" t="s">
        <v>79</v>
      </c>
      <c r="C55" s="10">
        <f t="shared" si="11"/>
        <v>5370731.8000000007</v>
      </c>
      <c r="D55" s="10">
        <f t="shared" si="1"/>
        <v>5102195.2100000009</v>
      </c>
      <c r="E55" s="10">
        <f t="shared" si="2"/>
        <v>7672474.0000000019</v>
      </c>
      <c r="F55" s="10">
        <f t="shared" si="3"/>
        <v>268536.59000000003</v>
      </c>
      <c r="G55" s="9">
        <v>0.85</v>
      </c>
      <c r="H55" s="11">
        <f t="shared" si="4"/>
        <v>4565122.03</v>
      </c>
      <c r="I55" s="12"/>
      <c r="J55" s="9"/>
      <c r="K55" s="23">
        <v>3836237</v>
      </c>
    </row>
    <row r="56" spans="1:11" ht="28.5" x14ac:dyDescent="0.2">
      <c r="A56" s="14" t="s">
        <v>80</v>
      </c>
      <c r="B56" s="14" t="s">
        <v>81</v>
      </c>
      <c r="C56" s="10">
        <f t="shared" si="11"/>
        <v>7406741.9999999991</v>
      </c>
      <c r="D56" s="10">
        <f t="shared" si="1"/>
        <v>7036404.8999999994</v>
      </c>
      <c r="E56" s="10">
        <f t="shared" si="2"/>
        <v>10581060</v>
      </c>
      <c r="F56" s="10">
        <f t="shared" si="3"/>
        <v>370337.1</v>
      </c>
      <c r="G56" s="9">
        <v>0.85</v>
      </c>
      <c r="H56" s="11">
        <f t="shared" si="4"/>
        <v>6295730.6999999993</v>
      </c>
      <c r="I56" s="12"/>
      <c r="J56" s="9"/>
      <c r="K56" s="23">
        <v>5290530</v>
      </c>
    </row>
    <row r="57" spans="1:11" ht="28.5" x14ac:dyDescent="0.2">
      <c r="A57" s="14" t="s">
        <v>82</v>
      </c>
      <c r="B57" s="14" t="s">
        <v>83</v>
      </c>
      <c r="C57" s="10">
        <f t="shared" si="11"/>
        <v>10642062.199999999</v>
      </c>
      <c r="D57" s="10">
        <f t="shared" si="1"/>
        <v>10109959.09</v>
      </c>
      <c r="E57" s="10">
        <f t="shared" si="2"/>
        <v>15202946</v>
      </c>
      <c r="F57" s="10">
        <f t="shared" si="3"/>
        <v>532103.11</v>
      </c>
      <c r="G57" s="9">
        <v>0.85</v>
      </c>
      <c r="H57" s="11">
        <f t="shared" si="4"/>
        <v>9045752.8699999992</v>
      </c>
      <c r="I57" s="12"/>
      <c r="J57" s="9"/>
      <c r="K57" s="23">
        <v>7601473</v>
      </c>
    </row>
    <row r="58" spans="1:11" ht="28.5" x14ac:dyDescent="0.2">
      <c r="A58" s="14" t="s">
        <v>84</v>
      </c>
      <c r="B58" s="14" t="s">
        <v>85</v>
      </c>
      <c r="C58" s="10">
        <f t="shared" si="11"/>
        <v>6500660.5999999996</v>
      </c>
      <c r="D58" s="10">
        <f t="shared" si="1"/>
        <v>6175627.5699999994</v>
      </c>
      <c r="E58" s="10">
        <f t="shared" si="2"/>
        <v>9286658</v>
      </c>
      <c r="F58" s="10">
        <f t="shared" si="3"/>
        <v>325033.03000000003</v>
      </c>
      <c r="G58" s="9">
        <v>0.85</v>
      </c>
      <c r="H58" s="11">
        <f t="shared" si="4"/>
        <v>5525561.5099999998</v>
      </c>
      <c r="I58" s="12"/>
      <c r="J58" s="9"/>
      <c r="K58" s="23">
        <v>4643329</v>
      </c>
    </row>
    <row r="59" spans="1:11" ht="15" x14ac:dyDescent="0.2">
      <c r="A59" s="31" t="s">
        <v>86</v>
      </c>
      <c r="B59" s="31"/>
      <c r="C59" s="31"/>
      <c r="D59" s="31"/>
      <c r="E59" s="31"/>
      <c r="F59" s="31"/>
      <c r="G59" s="20"/>
      <c r="H59" s="13"/>
      <c r="I59" s="20"/>
      <c r="J59" s="20"/>
      <c r="K59" s="18"/>
    </row>
    <row r="60" spans="1:11" ht="28.5" x14ac:dyDescent="0.2">
      <c r="A60" s="14" t="s">
        <v>87</v>
      </c>
      <c r="B60" s="14" t="s">
        <v>88</v>
      </c>
      <c r="C60" s="10">
        <f t="shared" ref="C60:C70" si="12">+H60/G60</f>
        <v>600625.19999999995</v>
      </c>
      <c r="D60" s="10">
        <f t="shared" si="1"/>
        <v>570593.93999999994</v>
      </c>
      <c r="E60" s="10">
        <f t="shared" si="2"/>
        <v>858036</v>
      </c>
      <c r="F60" s="10">
        <f t="shared" si="3"/>
        <v>30031.26</v>
      </c>
      <c r="G60" s="9">
        <v>0.85</v>
      </c>
      <c r="H60" s="11">
        <f t="shared" si="4"/>
        <v>510531.42</v>
      </c>
      <c r="I60" s="12"/>
      <c r="J60" s="9"/>
      <c r="K60" s="23">
        <v>429018</v>
      </c>
    </row>
    <row r="61" spans="1:11" ht="28.5" x14ac:dyDescent="0.2">
      <c r="A61" s="14" t="s">
        <v>89</v>
      </c>
      <c r="B61" s="14" t="s">
        <v>90</v>
      </c>
      <c r="C61" s="10">
        <f t="shared" si="12"/>
        <v>833071.39999999991</v>
      </c>
      <c r="D61" s="10">
        <f t="shared" si="1"/>
        <v>791417.83</v>
      </c>
      <c r="E61" s="10">
        <f t="shared" si="2"/>
        <v>1190102</v>
      </c>
      <c r="F61" s="10">
        <f t="shared" si="3"/>
        <v>41653.57</v>
      </c>
      <c r="G61" s="9">
        <v>0.85</v>
      </c>
      <c r="H61" s="11">
        <f t="shared" si="4"/>
        <v>708110.69</v>
      </c>
      <c r="I61" s="12"/>
      <c r="J61" s="9"/>
      <c r="K61" s="23">
        <v>595051</v>
      </c>
    </row>
    <row r="62" spans="1:11" ht="28.5" x14ac:dyDescent="0.2">
      <c r="A62" s="14" t="s">
        <v>91</v>
      </c>
      <c r="B62" s="14" t="s">
        <v>92</v>
      </c>
      <c r="C62" s="10">
        <f t="shared" si="12"/>
        <v>1021732.6</v>
      </c>
      <c r="D62" s="10">
        <f t="shared" si="1"/>
        <v>970645.97</v>
      </c>
      <c r="E62" s="10">
        <f t="shared" si="2"/>
        <v>1459618</v>
      </c>
      <c r="F62" s="10">
        <f t="shared" si="3"/>
        <v>51086.630000000005</v>
      </c>
      <c r="G62" s="9">
        <v>0.85</v>
      </c>
      <c r="H62" s="11">
        <f t="shared" si="4"/>
        <v>868472.71</v>
      </c>
      <c r="I62" s="12"/>
      <c r="J62" s="9"/>
      <c r="K62" s="23">
        <v>729809</v>
      </c>
    </row>
    <row r="63" spans="1:11" x14ac:dyDescent="0.2">
      <c r="A63" s="14" t="s">
        <v>93</v>
      </c>
      <c r="B63" s="14" t="s">
        <v>94</v>
      </c>
      <c r="C63" s="10">
        <f t="shared" si="12"/>
        <v>845049.79999999993</v>
      </c>
      <c r="D63" s="10">
        <f t="shared" si="1"/>
        <v>802797.30999999994</v>
      </c>
      <c r="E63" s="10">
        <f t="shared" si="2"/>
        <v>1207214</v>
      </c>
      <c r="F63" s="10">
        <f t="shared" si="3"/>
        <v>42252.49</v>
      </c>
      <c r="G63" s="9">
        <v>0.85</v>
      </c>
      <c r="H63" s="11">
        <f t="shared" si="4"/>
        <v>718292.33</v>
      </c>
      <c r="I63" s="12"/>
      <c r="J63" s="17"/>
      <c r="K63" s="23">
        <v>603607</v>
      </c>
    </row>
    <row r="64" spans="1:11" ht="28.5" x14ac:dyDescent="0.2">
      <c r="A64" s="14" t="s">
        <v>95</v>
      </c>
      <c r="B64" s="14" t="s">
        <v>96</v>
      </c>
      <c r="C64" s="10">
        <f t="shared" si="12"/>
        <v>2302004.6</v>
      </c>
      <c r="D64" s="10">
        <f t="shared" si="1"/>
        <v>2186904.37</v>
      </c>
      <c r="E64" s="10">
        <f t="shared" si="2"/>
        <v>3288578.0000000005</v>
      </c>
      <c r="F64" s="10">
        <f t="shared" si="3"/>
        <v>115100.23000000001</v>
      </c>
      <c r="G64" s="9">
        <v>0.85</v>
      </c>
      <c r="H64" s="11">
        <f t="shared" si="4"/>
        <v>1956703.91</v>
      </c>
      <c r="I64" s="12"/>
      <c r="J64" s="17"/>
      <c r="K64" s="23">
        <v>1644289</v>
      </c>
    </row>
    <row r="65" spans="1:11" ht="28.5" x14ac:dyDescent="0.2">
      <c r="A65" s="14" t="s">
        <v>97</v>
      </c>
      <c r="B65" s="14" t="s">
        <v>98</v>
      </c>
      <c r="C65" s="10">
        <f t="shared" si="12"/>
        <v>1210990.2</v>
      </c>
      <c r="D65" s="10">
        <f t="shared" si="1"/>
        <v>1150440.69</v>
      </c>
      <c r="E65" s="10">
        <f t="shared" si="2"/>
        <v>1729986</v>
      </c>
      <c r="F65" s="10">
        <f t="shared" si="3"/>
        <v>60549.51</v>
      </c>
      <c r="G65" s="9">
        <v>0.85</v>
      </c>
      <c r="H65" s="11">
        <f t="shared" si="4"/>
        <v>1029341.6699999999</v>
      </c>
      <c r="I65" s="12"/>
      <c r="J65" s="17"/>
      <c r="K65" s="23">
        <v>864993</v>
      </c>
    </row>
    <row r="66" spans="1:11" x14ac:dyDescent="0.2">
      <c r="A66" s="14" t="s">
        <v>99</v>
      </c>
      <c r="B66" s="14" t="s">
        <v>100</v>
      </c>
      <c r="C66" s="10">
        <f t="shared" si="12"/>
        <v>168284.2</v>
      </c>
      <c r="D66" s="10">
        <f t="shared" si="1"/>
        <v>159869.99000000002</v>
      </c>
      <c r="E66" s="10">
        <f t="shared" si="2"/>
        <v>240406.00000000003</v>
      </c>
      <c r="F66" s="10">
        <f t="shared" si="3"/>
        <v>8414.2100000000009</v>
      </c>
      <c r="G66" s="9">
        <v>0.85</v>
      </c>
      <c r="H66" s="11">
        <f t="shared" si="4"/>
        <v>143041.57</v>
      </c>
      <c r="I66" s="12"/>
      <c r="J66" s="17"/>
      <c r="K66" s="23">
        <v>120203</v>
      </c>
    </row>
    <row r="67" spans="1:11" ht="28.5" x14ac:dyDescent="0.2">
      <c r="A67" s="14" t="s">
        <v>101</v>
      </c>
      <c r="B67" s="14" t="s">
        <v>102</v>
      </c>
      <c r="C67" s="10">
        <f t="shared" si="12"/>
        <v>529503.80000000005</v>
      </c>
      <c r="D67" s="10">
        <f t="shared" si="1"/>
        <v>503028.61000000004</v>
      </c>
      <c r="E67" s="10">
        <f t="shared" si="2"/>
        <v>756434.00000000012</v>
      </c>
      <c r="F67" s="10">
        <f t="shared" si="3"/>
        <v>26475.190000000002</v>
      </c>
      <c r="G67" s="9">
        <v>0.85</v>
      </c>
      <c r="H67" s="11">
        <f t="shared" si="4"/>
        <v>450078.23</v>
      </c>
      <c r="I67" s="12"/>
      <c r="J67" s="17"/>
      <c r="K67" s="23">
        <v>378217</v>
      </c>
    </row>
    <row r="68" spans="1:11" x14ac:dyDescent="0.2">
      <c r="A68" s="14" t="s">
        <v>103</v>
      </c>
      <c r="B68" s="14" t="s">
        <v>104</v>
      </c>
      <c r="C68" s="10">
        <f t="shared" si="12"/>
        <v>462905.8</v>
      </c>
      <c r="D68" s="10">
        <f t="shared" si="1"/>
        <v>439760.51</v>
      </c>
      <c r="E68" s="10">
        <f t="shared" si="2"/>
        <v>661294</v>
      </c>
      <c r="F68" s="10">
        <f t="shared" si="3"/>
        <v>23145.29</v>
      </c>
      <c r="G68" s="9">
        <v>0.85</v>
      </c>
      <c r="H68" s="11">
        <f t="shared" ref="H68:H131" si="13">K68*1.19</f>
        <v>393469.93</v>
      </c>
      <c r="I68" s="12"/>
      <c r="J68" s="17"/>
      <c r="K68" s="23">
        <v>330647</v>
      </c>
    </row>
    <row r="69" spans="1:11" ht="28.5" x14ac:dyDescent="0.2">
      <c r="A69" s="14" t="s">
        <v>105</v>
      </c>
      <c r="B69" s="14" t="s">
        <v>106</v>
      </c>
      <c r="C69" s="10">
        <f t="shared" si="12"/>
        <v>1494379.5999999999</v>
      </c>
      <c r="D69" s="10">
        <f t="shared" ref="D69:D131" si="14">+C69-F69</f>
        <v>1419660.6199999999</v>
      </c>
      <c r="E69" s="10">
        <f t="shared" ref="E69:E131" si="15">+C69/0.7</f>
        <v>2134828</v>
      </c>
      <c r="F69" s="10">
        <f t="shared" ref="F69:F131" si="16">+C69*5%</f>
        <v>74718.98</v>
      </c>
      <c r="G69" s="9">
        <v>0.85</v>
      </c>
      <c r="H69" s="11">
        <f t="shared" si="13"/>
        <v>1270222.6599999999</v>
      </c>
      <c r="I69" s="12"/>
      <c r="J69" s="17"/>
      <c r="K69" s="23">
        <v>1067414</v>
      </c>
    </row>
    <row r="70" spans="1:11" ht="28.5" x14ac:dyDescent="0.2">
      <c r="A70" s="14" t="s">
        <v>107</v>
      </c>
      <c r="B70" s="14" t="s">
        <v>108</v>
      </c>
      <c r="C70" s="10">
        <f t="shared" si="12"/>
        <v>905832.20000000007</v>
      </c>
      <c r="D70" s="10">
        <f t="shared" si="14"/>
        <v>860540.59000000008</v>
      </c>
      <c r="E70" s="10">
        <f t="shared" si="15"/>
        <v>1294046.0000000002</v>
      </c>
      <c r="F70" s="10">
        <f t="shared" si="16"/>
        <v>45291.610000000008</v>
      </c>
      <c r="G70" s="9">
        <v>0.85</v>
      </c>
      <c r="H70" s="11">
        <f t="shared" si="13"/>
        <v>769957.37</v>
      </c>
      <c r="I70" s="12"/>
      <c r="J70" s="17"/>
      <c r="K70" s="23">
        <v>647023</v>
      </c>
    </row>
    <row r="71" spans="1:11" ht="15" x14ac:dyDescent="0.2">
      <c r="A71" s="31" t="s">
        <v>109</v>
      </c>
      <c r="B71" s="31"/>
      <c r="C71" s="31"/>
      <c r="D71" s="31"/>
      <c r="E71" s="31"/>
      <c r="F71" s="31"/>
      <c r="G71" s="9"/>
      <c r="H71" s="11"/>
      <c r="I71" s="12"/>
      <c r="J71" s="17"/>
      <c r="K71" s="18"/>
    </row>
    <row r="72" spans="1:11" ht="28.5" x14ac:dyDescent="0.2">
      <c r="A72" s="14" t="s">
        <v>110</v>
      </c>
      <c r="B72" s="14" t="s">
        <v>111</v>
      </c>
      <c r="C72" s="10">
        <f t="shared" ref="C72:C79" si="17">+H72/G72</f>
        <v>55167</v>
      </c>
      <c r="D72" s="10">
        <f t="shared" si="14"/>
        <v>52408.65</v>
      </c>
      <c r="E72" s="10">
        <f t="shared" si="15"/>
        <v>78810</v>
      </c>
      <c r="F72" s="10">
        <f t="shared" si="16"/>
        <v>2758.3500000000004</v>
      </c>
      <c r="G72" s="9">
        <v>0.85</v>
      </c>
      <c r="H72" s="11">
        <f t="shared" si="13"/>
        <v>46891.95</v>
      </c>
      <c r="I72" s="12"/>
      <c r="J72" s="17"/>
      <c r="K72" s="23">
        <v>39405</v>
      </c>
    </row>
    <row r="73" spans="1:11" ht="28.5" x14ac:dyDescent="0.2">
      <c r="A73" s="14" t="s">
        <v>112</v>
      </c>
      <c r="B73" s="14" t="s">
        <v>113</v>
      </c>
      <c r="C73" s="10">
        <f t="shared" si="17"/>
        <v>114011.8</v>
      </c>
      <c r="D73" s="10">
        <f t="shared" si="14"/>
        <v>108311.21</v>
      </c>
      <c r="E73" s="10">
        <f t="shared" si="15"/>
        <v>162874</v>
      </c>
      <c r="F73" s="10">
        <f t="shared" si="16"/>
        <v>5700.59</v>
      </c>
      <c r="G73" s="9">
        <v>0.85</v>
      </c>
      <c r="H73" s="11">
        <f t="shared" si="13"/>
        <v>96910.03</v>
      </c>
      <c r="I73" s="12"/>
      <c r="J73" s="17"/>
      <c r="K73" s="23">
        <v>81437</v>
      </c>
    </row>
    <row r="74" spans="1:11" ht="28.5" x14ac:dyDescent="0.2">
      <c r="A74" s="14" t="s">
        <v>114</v>
      </c>
      <c r="B74" s="14" t="s">
        <v>115</v>
      </c>
      <c r="C74" s="10">
        <f t="shared" si="17"/>
        <v>178621.80000000002</v>
      </c>
      <c r="D74" s="10">
        <f t="shared" si="14"/>
        <v>169690.71000000002</v>
      </c>
      <c r="E74" s="10">
        <f t="shared" si="15"/>
        <v>255174.00000000003</v>
      </c>
      <c r="F74" s="10">
        <f t="shared" si="16"/>
        <v>8931.090000000002</v>
      </c>
      <c r="G74" s="9">
        <v>0.85</v>
      </c>
      <c r="H74" s="11">
        <f t="shared" si="13"/>
        <v>151828.53</v>
      </c>
      <c r="I74" s="12"/>
      <c r="J74" s="17"/>
      <c r="K74" s="23">
        <v>127587</v>
      </c>
    </row>
    <row r="75" spans="1:11" ht="28.5" x14ac:dyDescent="0.2">
      <c r="A75" s="14" t="s">
        <v>116</v>
      </c>
      <c r="B75" s="14" t="s">
        <v>117</v>
      </c>
      <c r="C75" s="10">
        <f t="shared" si="17"/>
        <v>61727.4</v>
      </c>
      <c r="D75" s="10">
        <f t="shared" si="14"/>
        <v>58641.03</v>
      </c>
      <c r="E75" s="10">
        <f t="shared" si="15"/>
        <v>88182.000000000015</v>
      </c>
      <c r="F75" s="10">
        <f t="shared" si="16"/>
        <v>3086.3700000000003</v>
      </c>
      <c r="G75" s="9">
        <v>0.85</v>
      </c>
      <c r="H75" s="11">
        <f t="shared" si="13"/>
        <v>52468.29</v>
      </c>
      <c r="I75" s="12"/>
      <c r="J75" s="17"/>
      <c r="K75" s="23">
        <v>44091</v>
      </c>
    </row>
    <row r="76" spans="1:11" ht="28.5" x14ac:dyDescent="0.2">
      <c r="A76" s="14" t="s">
        <v>118</v>
      </c>
      <c r="B76" s="14" t="s">
        <v>119</v>
      </c>
      <c r="C76" s="10">
        <f t="shared" si="17"/>
        <v>492626.4</v>
      </c>
      <c r="D76" s="10">
        <f t="shared" si="14"/>
        <v>467995.08</v>
      </c>
      <c r="E76" s="10">
        <f t="shared" si="15"/>
        <v>703752.00000000012</v>
      </c>
      <c r="F76" s="10">
        <f t="shared" si="16"/>
        <v>24631.320000000003</v>
      </c>
      <c r="G76" s="9">
        <v>0.85</v>
      </c>
      <c r="H76" s="11">
        <f t="shared" si="13"/>
        <v>418732.44</v>
      </c>
      <c r="I76" s="12"/>
      <c r="J76" s="17"/>
      <c r="K76" s="23">
        <v>351876</v>
      </c>
    </row>
    <row r="77" spans="1:11" ht="28.5" x14ac:dyDescent="0.2">
      <c r="A77" s="14" t="s">
        <v>120</v>
      </c>
      <c r="B77" s="14" t="s">
        <v>121</v>
      </c>
      <c r="C77" s="10">
        <f t="shared" si="17"/>
        <v>501424</v>
      </c>
      <c r="D77" s="10">
        <f t="shared" si="14"/>
        <v>476352.8</v>
      </c>
      <c r="E77" s="10">
        <f t="shared" si="15"/>
        <v>716320</v>
      </c>
      <c r="F77" s="10">
        <f t="shared" si="16"/>
        <v>25071.200000000001</v>
      </c>
      <c r="G77" s="9">
        <v>0.85</v>
      </c>
      <c r="H77" s="11">
        <f t="shared" si="13"/>
        <v>426210.39999999997</v>
      </c>
      <c r="I77" s="12"/>
      <c r="J77" s="17"/>
      <c r="K77" s="23">
        <v>358160</v>
      </c>
    </row>
    <row r="78" spans="1:11" ht="28.5" x14ac:dyDescent="0.2">
      <c r="A78" s="14" t="s">
        <v>122</v>
      </c>
      <c r="B78" s="14" t="s">
        <v>123</v>
      </c>
      <c r="C78" s="10">
        <f t="shared" si="17"/>
        <v>540139.6</v>
      </c>
      <c r="D78" s="10">
        <f t="shared" si="14"/>
        <v>513132.62</v>
      </c>
      <c r="E78" s="10">
        <f t="shared" si="15"/>
        <v>771628</v>
      </c>
      <c r="F78" s="10">
        <f t="shared" si="16"/>
        <v>27006.98</v>
      </c>
      <c r="G78" s="9">
        <v>0.85</v>
      </c>
      <c r="H78" s="11">
        <f t="shared" si="13"/>
        <v>459118.66</v>
      </c>
      <c r="I78" s="12"/>
      <c r="J78" s="17"/>
      <c r="K78" s="23">
        <v>385814</v>
      </c>
    </row>
    <row r="79" spans="1:11" ht="28.5" x14ac:dyDescent="0.2">
      <c r="A79" s="14" t="s">
        <v>124</v>
      </c>
      <c r="B79" s="14" t="s">
        <v>125</v>
      </c>
      <c r="C79" s="10">
        <f t="shared" si="17"/>
        <v>462558.60000000003</v>
      </c>
      <c r="D79" s="10">
        <f t="shared" si="14"/>
        <v>439430.67000000004</v>
      </c>
      <c r="E79" s="10">
        <f t="shared" si="15"/>
        <v>660798.00000000012</v>
      </c>
      <c r="F79" s="10">
        <f t="shared" si="16"/>
        <v>23127.930000000004</v>
      </c>
      <c r="G79" s="9">
        <v>0.85</v>
      </c>
      <c r="H79" s="11">
        <f t="shared" si="13"/>
        <v>393174.81</v>
      </c>
      <c r="I79" s="12"/>
      <c r="J79" s="17"/>
      <c r="K79" s="23">
        <v>330399</v>
      </c>
    </row>
    <row r="80" spans="1:11" ht="15" x14ac:dyDescent="0.2">
      <c r="A80" s="31" t="s">
        <v>126</v>
      </c>
      <c r="B80" s="31"/>
      <c r="C80" s="31"/>
      <c r="D80" s="31"/>
      <c r="E80" s="31"/>
      <c r="F80" s="31"/>
      <c r="G80" s="9"/>
      <c r="H80" s="11"/>
      <c r="I80" s="12"/>
      <c r="J80" s="17"/>
      <c r="K80" s="18"/>
    </row>
    <row r="81" spans="1:11" ht="28.5" x14ac:dyDescent="0.2">
      <c r="A81" s="14" t="s">
        <v>127</v>
      </c>
      <c r="B81" s="14" t="s">
        <v>128</v>
      </c>
      <c r="C81" s="10">
        <f>+H81/G81</f>
        <v>731336.20000000007</v>
      </c>
      <c r="D81" s="10">
        <f t="shared" si="14"/>
        <v>694769.39</v>
      </c>
      <c r="E81" s="10">
        <f t="shared" si="15"/>
        <v>1044766.0000000001</v>
      </c>
      <c r="F81" s="10">
        <f t="shared" si="16"/>
        <v>36566.810000000005</v>
      </c>
      <c r="G81" s="9">
        <v>0.85</v>
      </c>
      <c r="H81" s="11">
        <f t="shared" si="13"/>
        <v>621635.77</v>
      </c>
      <c r="I81" s="12"/>
      <c r="J81" s="17"/>
      <c r="K81" s="23">
        <v>522383</v>
      </c>
    </row>
    <row r="82" spans="1:11" ht="28.5" x14ac:dyDescent="0.2">
      <c r="A82" s="14" t="s">
        <v>129</v>
      </c>
      <c r="B82" s="14" t="s">
        <v>130</v>
      </c>
      <c r="C82" s="10">
        <f>+H82/G82</f>
        <v>1212929.2</v>
      </c>
      <c r="D82" s="10">
        <f t="shared" si="14"/>
        <v>1152282.74</v>
      </c>
      <c r="E82" s="10">
        <f t="shared" si="15"/>
        <v>1732756</v>
      </c>
      <c r="F82" s="10">
        <f t="shared" si="16"/>
        <v>60646.46</v>
      </c>
      <c r="G82" s="9">
        <v>0.85</v>
      </c>
      <c r="H82" s="11">
        <f t="shared" si="13"/>
        <v>1030989.82</v>
      </c>
      <c r="I82" s="12"/>
      <c r="J82" s="17"/>
      <c r="K82" s="23">
        <v>866378</v>
      </c>
    </row>
    <row r="83" spans="1:11" ht="28.5" x14ac:dyDescent="0.2">
      <c r="A83" s="14" t="s">
        <v>131</v>
      </c>
      <c r="B83" s="14" t="s">
        <v>132</v>
      </c>
      <c r="C83" s="10">
        <f>+H83/G83</f>
        <v>1525491.8</v>
      </c>
      <c r="D83" s="10">
        <f t="shared" si="14"/>
        <v>1449217.21</v>
      </c>
      <c r="E83" s="10">
        <f t="shared" si="15"/>
        <v>2179274</v>
      </c>
      <c r="F83" s="10">
        <f t="shared" si="16"/>
        <v>76274.590000000011</v>
      </c>
      <c r="G83" s="9">
        <v>0.85</v>
      </c>
      <c r="H83" s="11">
        <f t="shared" si="13"/>
        <v>1296668.03</v>
      </c>
      <c r="I83" s="12"/>
      <c r="J83" s="17"/>
      <c r="K83" s="23">
        <v>1089637</v>
      </c>
    </row>
    <row r="84" spans="1:11" ht="28.5" x14ac:dyDescent="0.2">
      <c r="A84" s="14" t="s">
        <v>133</v>
      </c>
      <c r="B84" s="14" t="s">
        <v>134</v>
      </c>
      <c r="C84" s="10">
        <f>+H84/G84</f>
        <v>2567501.9999999995</v>
      </c>
      <c r="D84" s="10">
        <f t="shared" si="14"/>
        <v>2439126.8999999994</v>
      </c>
      <c r="E84" s="10">
        <f t="shared" si="15"/>
        <v>3667859.9999999995</v>
      </c>
      <c r="F84" s="10">
        <f t="shared" si="16"/>
        <v>128375.09999999998</v>
      </c>
      <c r="G84" s="9">
        <v>0.85</v>
      </c>
      <c r="H84" s="11">
        <f t="shared" si="13"/>
        <v>2182376.6999999997</v>
      </c>
      <c r="I84" s="12"/>
      <c r="J84" s="17"/>
      <c r="K84" s="23">
        <v>1833930</v>
      </c>
    </row>
    <row r="85" spans="1:11" ht="28.5" x14ac:dyDescent="0.2">
      <c r="A85" s="14" t="s">
        <v>135</v>
      </c>
      <c r="B85" s="14" t="s">
        <v>136</v>
      </c>
      <c r="C85" s="10">
        <f>+H85/G85</f>
        <v>3663884</v>
      </c>
      <c r="D85" s="10">
        <f t="shared" si="14"/>
        <v>3480689.8</v>
      </c>
      <c r="E85" s="10">
        <f t="shared" si="15"/>
        <v>5234120</v>
      </c>
      <c r="F85" s="10">
        <f t="shared" si="16"/>
        <v>183194.2</v>
      </c>
      <c r="G85" s="9">
        <v>0.85</v>
      </c>
      <c r="H85" s="11">
        <f t="shared" si="13"/>
        <v>3114301.4</v>
      </c>
      <c r="I85" s="12"/>
      <c r="J85" s="17"/>
      <c r="K85" s="23">
        <v>2617060</v>
      </c>
    </row>
    <row r="86" spans="1:11" ht="15" x14ac:dyDescent="0.2">
      <c r="A86" s="31" t="s">
        <v>137</v>
      </c>
      <c r="B86" s="31"/>
      <c r="C86" s="31"/>
      <c r="D86" s="31"/>
      <c r="E86" s="31"/>
      <c r="F86" s="31"/>
      <c r="G86" s="9">
        <v>0.85</v>
      </c>
      <c r="H86" s="11">
        <f t="shared" si="13"/>
        <v>0</v>
      </c>
      <c r="I86" s="12"/>
      <c r="J86" s="17"/>
      <c r="K86" s="18"/>
    </row>
    <row r="87" spans="1:11" x14ac:dyDescent="0.2">
      <c r="A87" s="14" t="s">
        <v>138</v>
      </c>
      <c r="B87" s="14" t="s">
        <v>139</v>
      </c>
      <c r="C87" s="10">
        <f>+H87/G87</f>
        <v>31124576</v>
      </c>
      <c r="D87" s="10">
        <f t="shared" si="14"/>
        <v>29568347.199999999</v>
      </c>
      <c r="E87" s="10">
        <f t="shared" si="15"/>
        <v>44463680</v>
      </c>
      <c r="F87" s="10">
        <f t="shared" si="16"/>
        <v>1556228.8</v>
      </c>
      <c r="G87" s="9">
        <v>0.85</v>
      </c>
      <c r="H87" s="11">
        <f t="shared" si="13"/>
        <v>26455889.599999998</v>
      </c>
      <c r="I87" s="12"/>
      <c r="J87" s="17"/>
      <c r="K87" s="23">
        <v>22231840</v>
      </c>
    </row>
    <row r="88" spans="1:11" x14ac:dyDescent="0.2">
      <c r="A88" s="14" t="s">
        <v>140</v>
      </c>
      <c r="B88" s="14" t="s">
        <v>141</v>
      </c>
      <c r="C88" s="10">
        <f>+H88/G88</f>
        <v>44134942.600000001</v>
      </c>
      <c r="D88" s="10">
        <f t="shared" si="14"/>
        <v>41928195.469999999</v>
      </c>
      <c r="E88" s="10">
        <f t="shared" si="15"/>
        <v>63049918.000000007</v>
      </c>
      <c r="F88" s="10">
        <f t="shared" si="16"/>
        <v>2206747.1300000004</v>
      </c>
      <c r="G88" s="9">
        <v>0.85</v>
      </c>
      <c r="H88" s="11">
        <f t="shared" si="13"/>
        <v>37514701.210000001</v>
      </c>
      <c r="I88" s="12"/>
      <c r="J88" s="17"/>
      <c r="K88" s="23">
        <v>31524959</v>
      </c>
    </row>
    <row r="89" spans="1:11" x14ac:dyDescent="0.2">
      <c r="A89" s="14" t="s">
        <v>142</v>
      </c>
      <c r="B89" s="14" t="s">
        <v>143</v>
      </c>
      <c r="C89" s="10">
        <f>+H89/G89</f>
        <v>64972164.599999994</v>
      </c>
      <c r="D89" s="10">
        <f t="shared" si="14"/>
        <v>61723556.369999997</v>
      </c>
      <c r="E89" s="10">
        <f t="shared" si="15"/>
        <v>92817378</v>
      </c>
      <c r="F89" s="10">
        <f t="shared" si="16"/>
        <v>3248608.23</v>
      </c>
      <c r="G89" s="9">
        <v>0.85</v>
      </c>
      <c r="H89" s="11">
        <f t="shared" si="13"/>
        <v>55226339.909999996</v>
      </c>
      <c r="I89" s="12"/>
      <c r="J89" s="17"/>
      <c r="K89" s="23">
        <v>46408689</v>
      </c>
    </row>
    <row r="90" spans="1:11" x14ac:dyDescent="0.2">
      <c r="A90" s="14" t="s">
        <v>144</v>
      </c>
      <c r="B90" s="14" t="s">
        <v>145</v>
      </c>
      <c r="C90" s="10">
        <f>+H90/G90</f>
        <v>78143559.200000003</v>
      </c>
      <c r="D90" s="10">
        <f t="shared" si="14"/>
        <v>74236381.24000001</v>
      </c>
      <c r="E90" s="10">
        <f t="shared" si="15"/>
        <v>111633656.00000001</v>
      </c>
      <c r="F90" s="10">
        <f t="shared" si="16"/>
        <v>3907177.9600000004</v>
      </c>
      <c r="G90" s="9">
        <v>0.85</v>
      </c>
      <c r="H90" s="11">
        <f t="shared" si="13"/>
        <v>66422025.32</v>
      </c>
      <c r="I90" s="12"/>
      <c r="J90" s="17"/>
      <c r="K90" s="23">
        <v>55816828</v>
      </c>
    </row>
    <row r="91" spans="1:11" ht="15" x14ac:dyDescent="0.2">
      <c r="A91" s="31" t="s">
        <v>146</v>
      </c>
      <c r="B91" s="31"/>
      <c r="C91" s="31"/>
      <c r="D91" s="31"/>
      <c r="E91" s="31"/>
      <c r="F91" s="31"/>
      <c r="G91" s="9">
        <v>0.85</v>
      </c>
      <c r="H91" s="11">
        <f t="shared" si="13"/>
        <v>0</v>
      </c>
      <c r="I91" s="12"/>
      <c r="J91" s="17"/>
      <c r="K91" s="18"/>
    </row>
    <row r="92" spans="1:11" ht="28.5" x14ac:dyDescent="0.2">
      <c r="A92" s="14" t="s">
        <v>147</v>
      </c>
      <c r="B92" s="14" t="s">
        <v>148</v>
      </c>
      <c r="C92" s="10">
        <f t="shared" ref="C92:C107" si="18">+H92/G92</f>
        <v>9020053</v>
      </c>
      <c r="D92" s="10">
        <f t="shared" si="14"/>
        <v>8569050.3499999996</v>
      </c>
      <c r="E92" s="10">
        <f t="shared" si="15"/>
        <v>12885790</v>
      </c>
      <c r="F92" s="10">
        <f t="shared" si="16"/>
        <v>451002.65</v>
      </c>
      <c r="G92" s="9">
        <v>0.85</v>
      </c>
      <c r="H92" s="11">
        <f t="shared" si="13"/>
        <v>7667045.0499999998</v>
      </c>
      <c r="I92" s="12"/>
      <c r="J92" s="17"/>
      <c r="K92" s="23">
        <v>6442895</v>
      </c>
    </row>
    <row r="93" spans="1:11" ht="28.5" x14ac:dyDescent="0.2">
      <c r="A93" s="14" t="s">
        <v>149</v>
      </c>
      <c r="B93" s="14" t="s">
        <v>150</v>
      </c>
      <c r="C93" s="10">
        <f t="shared" si="18"/>
        <v>17268861.399999999</v>
      </c>
      <c r="D93" s="10">
        <f t="shared" si="14"/>
        <v>16405418.329999998</v>
      </c>
      <c r="E93" s="10">
        <f t="shared" si="15"/>
        <v>24669802</v>
      </c>
      <c r="F93" s="10">
        <f t="shared" si="16"/>
        <v>863443.07</v>
      </c>
      <c r="G93" s="9">
        <v>0.85</v>
      </c>
      <c r="H93" s="11">
        <f t="shared" si="13"/>
        <v>14678532.189999999</v>
      </c>
      <c r="I93" s="12"/>
      <c r="J93" s="17"/>
      <c r="K93" s="23">
        <v>12334901</v>
      </c>
    </row>
    <row r="94" spans="1:11" ht="28.5" x14ac:dyDescent="0.2">
      <c r="A94" s="14" t="s">
        <v>151</v>
      </c>
      <c r="B94" s="14" t="s">
        <v>152</v>
      </c>
      <c r="C94" s="10">
        <f t="shared" si="18"/>
        <v>19325646.199999999</v>
      </c>
      <c r="D94" s="10">
        <f t="shared" si="14"/>
        <v>18359363.890000001</v>
      </c>
      <c r="E94" s="10">
        <f t="shared" si="15"/>
        <v>27608066</v>
      </c>
      <c r="F94" s="10">
        <f t="shared" si="16"/>
        <v>966282.31</v>
      </c>
      <c r="G94" s="9">
        <v>0.85</v>
      </c>
      <c r="H94" s="11">
        <f t="shared" si="13"/>
        <v>16426799.27</v>
      </c>
      <c r="I94" s="12"/>
      <c r="J94" s="17"/>
      <c r="K94" s="23">
        <v>13804033</v>
      </c>
    </row>
    <row r="95" spans="1:11" ht="28.5" x14ac:dyDescent="0.2">
      <c r="A95" s="14" t="s">
        <v>153</v>
      </c>
      <c r="B95" s="14" t="s">
        <v>154</v>
      </c>
      <c r="C95" s="10">
        <f t="shared" si="18"/>
        <v>28306336.799999997</v>
      </c>
      <c r="D95" s="10">
        <f t="shared" si="14"/>
        <v>26891019.959999997</v>
      </c>
      <c r="E95" s="10">
        <f t="shared" si="15"/>
        <v>40437624</v>
      </c>
      <c r="F95" s="10">
        <f t="shared" si="16"/>
        <v>1415316.8399999999</v>
      </c>
      <c r="G95" s="9">
        <v>0.85</v>
      </c>
      <c r="H95" s="11">
        <f t="shared" si="13"/>
        <v>24060386.279999997</v>
      </c>
      <c r="I95" s="12"/>
      <c r="J95" s="17"/>
      <c r="K95" s="23">
        <v>20218812</v>
      </c>
    </row>
    <row r="96" spans="1:11" ht="28.5" x14ac:dyDescent="0.2">
      <c r="A96" s="14" t="s">
        <v>155</v>
      </c>
      <c r="B96" s="14" t="s">
        <v>156</v>
      </c>
      <c r="C96" s="10">
        <f t="shared" si="18"/>
        <v>14457133.6</v>
      </c>
      <c r="D96" s="10">
        <f t="shared" si="14"/>
        <v>13734276.92</v>
      </c>
      <c r="E96" s="10">
        <f t="shared" si="15"/>
        <v>20653048</v>
      </c>
      <c r="F96" s="10">
        <f t="shared" si="16"/>
        <v>722856.68</v>
      </c>
      <c r="G96" s="9">
        <v>0.85</v>
      </c>
      <c r="H96" s="11">
        <f t="shared" si="13"/>
        <v>12288563.559999999</v>
      </c>
      <c r="I96" s="12"/>
      <c r="J96" s="17"/>
      <c r="K96" s="23">
        <v>10326524</v>
      </c>
    </row>
    <row r="97" spans="1:11" ht="28.5" x14ac:dyDescent="0.2">
      <c r="A97" s="14" t="s">
        <v>157</v>
      </c>
      <c r="B97" s="14" t="s">
        <v>158</v>
      </c>
      <c r="C97" s="10">
        <f t="shared" si="18"/>
        <v>23811071.199999999</v>
      </c>
      <c r="D97" s="10">
        <f t="shared" si="14"/>
        <v>22620517.640000001</v>
      </c>
      <c r="E97" s="10">
        <f t="shared" si="15"/>
        <v>34015816</v>
      </c>
      <c r="F97" s="10">
        <f t="shared" si="16"/>
        <v>1190553.56</v>
      </c>
      <c r="G97" s="9">
        <v>0.85</v>
      </c>
      <c r="H97" s="11">
        <f t="shared" si="13"/>
        <v>20239410.52</v>
      </c>
      <c r="I97" s="12"/>
      <c r="J97" s="17"/>
      <c r="K97" s="23">
        <v>17007908</v>
      </c>
    </row>
    <row r="98" spans="1:11" ht="28.5" x14ac:dyDescent="0.2">
      <c r="A98" s="14" t="s">
        <v>159</v>
      </c>
      <c r="B98" s="14" t="s">
        <v>160</v>
      </c>
      <c r="C98" s="10">
        <f t="shared" si="18"/>
        <v>24780420</v>
      </c>
      <c r="D98" s="10">
        <f t="shared" si="14"/>
        <v>23541399</v>
      </c>
      <c r="E98" s="10">
        <f t="shared" si="15"/>
        <v>35400600</v>
      </c>
      <c r="F98" s="10">
        <f t="shared" si="16"/>
        <v>1239021</v>
      </c>
      <c r="G98" s="9">
        <v>0.85</v>
      </c>
      <c r="H98" s="11">
        <f t="shared" si="13"/>
        <v>21063357</v>
      </c>
      <c r="I98" s="12"/>
      <c r="J98" s="17"/>
      <c r="K98" s="23">
        <v>17700300</v>
      </c>
    </row>
    <row r="99" spans="1:11" ht="28.5" x14ac:dyDescent="0.2">
      <c r="A99" s="14" t="s">
        <v>161</v>
      </c>
      <c r="B99" s="14" t="s">
        <v>162</v>
      </c>
      <c r="C99" s="10">
        <f t="shared" si="18"/>
        <v>38292160.199999996</v>
      </c>
      <c r="D99" s="10">
        <f t="shared" si="14"/>
        <v>36377552.189999998</v>
      </c>
      <c r="E99" s="10">
        <f t="shared" si="15"/>
        <v>54703086</v>
      </c>
      <c r="F99" s="10">
        <f t="shared" si="16"/>
        <v>1914608.0099999998</v>
      </c>
      <c r="G99" s="9">
        <v>0.85</v>
      </c>
      <c r="H99" s="11">
        <f t="shared" si="13"/>
        <v>32548336.169999998</v>
      </c>
      <c r="I99" s="12"/>
      <c r="J99" s="17"/>
      <c r="K99" s="23">
        <v>27351543</v>
      </c>
    </row>
    <row r="100" spans="1:11" ht="28.5" x14ac:dyDescent="0.2">
      <c r="A100" s="14" t="s">
        <v>163</v>
      </c>
      <c r="B100" s="14" t="s">
        <v>164</v>
      </c>
      <c r="C100" s="10">
        <f t="shared" si="18"/>
        <v>21512695.400000002</v>
      </c>
      <c r="D100" s="10">
        <f t="shared" si="14"/>
        <v>20437060.630000003</v>
      </c>
      <c r="E100" s="10">
        <f t="shared" si="15"/>
        <v>30732422.000000004</v>
      </c>
      <c r="F100" s="10">
        <f t="shared" si="16"/>
        <v>1075634.7700000003</v>
      </c>
      <c r="G100" s="9">
        <v>0.85</v>
      </c>
      <c r="H100" s="11">
        <f t="shared" si="13"/>
        <v>18285791.09</v>
      </c>
      <c r="I100" s="12"/>
      <c r="J100" s="17"/>
      <c r="K100" s="23">
        <v>15366211</v>
      </c>
    </row>
    <row r="101" spans="1:11" ht="28.5" x14ac:dyDescent="0.2">
      <c r="A101" s="14" t="s">
        <v>165</v>
      </c>
      <c r="B101" s="14" t="s">
        <v>166</v>
      </c>
      <c r="C101" s="10">
        <f t="shared" si="18"/>
        <v>27092514.399999999</v>
      </c>
      <c r="D101" s="10">
        <f t="shared" si="14"/>
        <v>25737888.68</v>
      </c>
      <c r="E101" s="10">
        <f t="shared" si="15"/>
        <v>38703592</v>
      </c>
      <c r="F101" s="10">
        <f t="shared" si="16"/>
        <v>1354625.72</v>
      </c>
      <c r="G101" s="9">
        <v>0.85</v>
      </c>
      <c r="H101" s="11">
        <f t="shared" si="13"/>
        <v>23028637.239999998</v>
      </c>
      <c r="I101" s="12"/>
      <c r="J101" s="17"/>
      <c r="K101" s="23">
        <v>19351796</v>
      </c>
    </row>
    <row r="102" spans="1:11" ht="28.5" x14ac:dyDescent="0.2">
      <c r="A102" s="14" t="s">
        <v>167</v>
      </c>
      <c r="B102" s="14" t="s">
        <v>168</v>
      </c>
      <c r="C102" s="10">
        <f t="shared" si="18"/>
        <v>32027625</v>
      </c>
      <c r="D102" s="10">
        <f t="shared" si="14"/>
        <v>30426243.75</v>
      </c>
      <c r="E102" s="10">
        <f t="shared" si="15"/>
        <v>45753750</v>
      </c>
      <c r="F102" s="10">
        <f t="shared" si="16"/>
        <v>1601381.25</v>
      </c>
      <c r="G102" s="9">
        <v>0.85</v>
      </c>
      <c r="H102" s="11">
        <f t="shared" si="13"/>
        <v>27223481.25</v>
      </c>
      <c r="I102" s="12"/>
      <c r="J102" s="17"/>
      <c r="K102" s="23">
        <v>22876875</v>
      </c>
    </row>
    <row r="103" spans="1:11" ht="28.5" x14ac:dyDescent="0.2">
      <c r="A103" s="14" t="s">
        <v>169</v>
      </c>
      <c r="B103" s="14" t="s">
        <v>170</v>
      </c>
      <c r="C103" s="10">
        <f t="shared" si="18"/>
        <v>49442206.800000004</v>
      </c>
      <c r="D103" s="10">
        <f t="shared" si="14"/>
        <v>46970096.460000001</v>
      </c>
      <c r="E103" s="10">
        <f t="shared" si="15"/>
        <v>70631724.000000015</v>
      </c>
      <c r="F103" s="10">
        <f t="shared" si="16"/>
        <v>2472110.3400000003</v>
      </c>
      <c r="G103" s="9">
        <v>0.85</v>
      </c>
      <c r="H103" s="11">
        <f t="shared" si="13"/>
        <v>42025875.780000001</v>
      </c>
      <c r="I103" s="12"/>
      <c r="J103" s="17"/>
      <c r="K103" s="23">
        <v>35315862</v>
      </c>
    </row>
    <row r="104" spans="1:11" ht="28.5" x14ac:dyDescent="0.2">
      <c r="A104" s="14" t="s">
        <v>171</v>
      </c>
      <c r="B104" s="14" t="s">
        <v>172</v>
      </c>
      <c r="C104" s="10">
        <f t="shared" si="18"/>
        <v>24795181.600000001</v>
      </c>
      <c r="D104" s="10">
        <f t="shared" si="14"/>
        <v>23555422.520000003</v>
      </c>
      <c r="E104" s="10">
        <f t="shared" si="15"/>
        <v>35421688.000000007</v>
      </c>
      <c r="F104" s="10">
        <f t="shared" si="16"/>
        <v>1239759.08</v>
      </c>
      <c r="G104" s="9">
        <v>0.85</v>
      </c>
      <c r="H104" s="11">
        <f t="shared" si="13"/>
        <v>21075904.359999999</v>
      </c>
      <c r="I104" s="12"/>
      <c r="J104" s="17"/>
      <c r="K104" s="23">
        <v>17710844</v>
      </c>
    </row>
    <row r="105" spans="1:11" ht="28.5" x14ac:dyDescent="0.2">
      <c r="A105" s="14" t="s">
        <v>173</v>
      </c>
      <c r="B105" s="14" t="s">
        <v>174</v>
      </c>
      <c r="C105" s="10">
        <f t="shared" si="18"/>
        <v>31782255.400000002</v>
      </c>
      <c r="D105" s="10">
        <f t="shared" si="14"/>
        <v>30193142.630000003</v>
      </c>
      <c r="E105" s="10">
        <f t="shared" si="15"/>
        <v>45403222.000000007</v>
      </c>
      <c r="F105" s="10">
        <f t="shared" si="16"/>
        <v>1589112.7700000003</v>
      </c>
      <c r="G105" s="9">
        <v>0.85</v>
      </c>
      <c r="H105" s="11">
        <f t="shared" si="13"/>
        <v>27014917.09</v>
      </c>
      <c r="I105" s="12"/>
      <c r="J105" s="17"/>
      <c r="K105" s="23">
        <v>22701611</v>
      </c>
    </row>
    <row r="106" spans="1:11" ht="28.5" x14ac:dyDescent="0.2">
      <c r="A106" s="14" t="s">
        <v>175</v>
      </c>
      <c r="B106" s="14" t="s">
        <v>176</v>
      </c>
      <c r="C106" s="10">
        <f t="shared" si="18"/>
        <v>43150882.600000001</v>
      </c>
      <c r="D106" s="10">
        <f t="shared" si="14"/>
        <v>40993338.469999999</v>
      </c>
      <c r="E106" s="10">
        <f t="shared" si="15"/>
        <v>61644118.000000007</v>
      </c>
      <c r="F106" s="10">
        <f t="shared" si="16"/>
        <v>2157544.1300000004</v>
      </c>
      <c r="G106" s="9">
        <v>0.85</v>
      </c>
      <c r="H106" s="11">
        <f t="shared" si="13"/>
        <v>36678250.210000001</v>
      </c>
      <c r="I106" s="12"/>
      <c r="J106" s="17"/>
      <c r="K106" s="23">
        <v>30822059</v>
      </c>
    </row>
    <row r="107" spans="1:11" ht="28.5" x14ac:dyDescent="0.2">
      <c r="A107" s="14" t="s">
        <v>177</v>
      </c>
      <c r="B107" s="14" t="s">
        <v>178</v>
      </c>
      <c r="C107" s="10">
        <f t="shared" si="18"/>
        <v>69723584</v>
      </c>
      <c r="D107" s="10">
        <f t="shared" si="14"/>
        <v>66237404.799999997</v>
      </c>
      <c r="E107" s="10">
        <f t="shared" si="15"/>
        <v>99605120</v>
      </c>
      <c r="F107" s="10">
        <f t="shared" si="16"/>
        <v>3486179.2</v>
      </c>
      <c r="G107" s="9">
        <v>0.85</v>
      </c>
      <c r="H107" s="11">
        <f t="shared" si="13"/>
        <v>59265046.399999999</v>
      </c>
      <c r="I107" s="12"/>
      <c r="J107" s="17"/>
      <c r="K107" s="23">
        <v>49802560</v>
      </c>
    </row>
    <row r="108" spans="1:11" ht="15" x14ac:dyDescent="0.2">
      <c r="A108" s="31" t="s">
        <v>179</v>
      </c>
      <c r="B108" s="31"/>
      <c r="C108" s="31"/>
      <c r="D108" s="31"/>
      <c r="E108" s="31"/>
      <c r="F108" s="31"/>
      <c r="G108" s="9"/>
      <c r="H108" s="11"/>
      <c r="I108" s="12"/>
      <c r="J108" s="17"/>
      <c r="K108" s="18"/>
    </row>
    <row r="109" spans="1:11" ht="28.5" x14ac:dyDescent="0.2">
      <c r="A109" s="14" t="s">
        <v>180</v>
      </c>
      <c r="B109" s="14" t="s">
        <v>181</v>
      </c>
      <c r="C109" s="10">
        <f>+H109/G109</f>
        <v>13423821.6</v>
      </c>
      <c r="D109" s="10">
        <f t="shared" si="14"/>
        <v>12752630.52</v>
      </c>
      <c r="E109" s="10">
        <f t="shared" si="15"/>
        <v>19176888</v>
      </c>
      <c r="F109" s="10">
        <f t="shared" si="16"/>
        <v>671191.08000000007</v>
      </c>
      <c r="G109" s="9">
        <v>0.85</v>
      </c>
      <c r="H109" s="11">
        <f t="shared" si="13"/>
        <v>11410248.359999999</v>
      </c>
      <c r="I109" s="12"/>
      <c r="J109" s="17"/>
      <c r="K109" s="26">
        <v>9588444</v>
      </c>
    </row>
    <row r="110" spans="1:11" ht="28.5" x14ac:dyDescent="0.2">
      <c r="A110" s="14" t="s">
        <v>182</v>
      </c>
      <c r="B110" s="14" t="s">
        <v>183</v>
      </c>
      <c r="C110" s="10">
        <f>+H110/G110</f>
        <v>16741694.199999999</v>
      </c>
      <c r="D110" s="10">
        <f t="shared" si="14"/>
        <v>15904609.489999998</v>
      </c>
      <c r="E110" s="10">
        <f t="shared" si="15"/>
        <v>23916706</v>
      </c>
      <c r="F110" s="10">
        <f t="shared" si="16"/>
        <v>837084.71</v>
      </c>
      <c r="G110" s="9">
        <v>0.85</v>
      </c>
      <c r="H110" s="11">
        <f t="shared" si="13"/>
        <v>14230440.069999998</v>
      </c>
      <c r="I110" s="12"/>
      <c r="J110" s="17"/>
      <c r="K110" s="26">
        <v>11958353</v>
      </c>
    </row>
    <row r="111" spans="1:11" ht="28.5" x14ac:dyDescent="0.2">
      <c r="A111" s="14" t="s">
        <v>184</v>
      </c>
      <c r="B111" s="14" t="s">
        <v>185</v>
      </c>
      <c r="C111" s="10">
        <f>+H111/G111</f>
        <v>17866156</v>
      </c>
      <c r="D111" s="10">
        <f t="shared" si="14"/>
        <v>16972848.199999999</v>
      </c>
      <c r="E111" s="10">
        <f t="shared" si="15"/>
        <v>25523080</v>
      </c>
      <c r="F111" s="10">
        <f t="shared" si="16"/>
        <v>893307.8</v>
      </c>
      <c r="G111" s="9">
        <v>0.85</v>
      </c>
      <c r="H111" s="11">
        <f t="shared" si="13"/>
        <v>15186232.6</v>
      </c>
      <c r="I111" s="12"/>
      <c r="J111" s="17"/>
      <c r="K111" s="26">
        <v>12761540</v>
      </c>
    </row>
    <row r="112" spans="1:11" ht="28.5" x14ac:dyDescent="0.2">
      <c r="A112" s="14" t="s">
        <v>186</v>
      </c>
      <c r="B112" s="14" t="s">
        <v>187</v>
      </c>
      <c r="C112" s="10">
        <f>+H112/G112</f>
        <v>29395263.800000001</v>
      </c>
      <c r="D112" s="10">
        <f t="shared" si="14"/>
        <v>27925500.609999999</v>
      </c>
      <c r="E112" s="10">
        <f t="shared" si="15"/>
        <v>41993234.000000007</v>
      </c>
      <c r="F112" s="10">
        <f t="shared" si="16"/>
        <v>1469763.1900000002</v>
      </c>
      <c r="G112" s="9">
        <v>0.85</v>
      </c>
      <c r="H112" s="11">
        <f t="shared" si="13"/>
        <v>24985974.23</v>
      </c>
      <c r="I112" s="12"/>
      <c r="J112" s="17"/>
      <c r="K112" s="26">
        <v>20996617</v>
      </c>
    </row>
    <row r="113" spans="1:11" ht="15" x14ac:dyDescent="0.2">
      <c r="A113" s="31" t="s">
        <v>188</v>
      </c>
      <c r="B113" s="31"/>
      <c r="C113" s="31"/>
      <c r="D113" s="31"/>
      <c r="E113" s="31"/>
      <c r="F113" s="31"/>
      <c r="G113" s="9"/>
      <c r="H113" s="11"/>
      <c r="I113" s="12"/>
      <c r="J113" s="17"/>
      <c r="K113" s="18"/>
    </row>
    <row r="114" spans="1:11" ht="28.5" x14ac:dyDescent="0.2">
      <c r="A114" s="14" t="s">
        <v>189</v>
      </c>
      <c r="B114" s="14" t="s">
        <v>190</v>
      </c>
      <c r="C114" s="10">
        <f>+H114/G114</f>
        <v>1542389.7999999998</v>
      </c>
      <c r="D114" s="10">
        <f t="shared" si="14"/>
        <v>1465270.3099999998</v>
      </c>
      <c r="E114" s="10">
        <f t="shared" si="15"/>
        <v>2203414</v>
      </c>
      <c r="F114" s="10">
        <f t="shared" si="16"/>
        <v>77119.489999999991</v>
      </c>
      <c r="G114" s="9">
        <v>0.85</v>
      </c>
      <c r="H114" s="11">
        <f t="shared" si="13"/>
        <v>1311031.3299999998</v>
      </c>
      <c r="I114" s="12"/>
      <c r="J114" s="17"/>
      <c r="K114" s="26">
        <v>1101707</v>
      </c>
    </row>
    <row r="115" spans="1:11" ht="28.5" x14ac:dyDescent="0.2">
      <c r="A115" s="14" t="s">
        <v>191</v>
      </c>
      <c r="B115" s="14" t="s">
        <v>192</v>
      </c>
      <c r="C115" s="10">
        <f>+H115/G115</f>
        <v>2506470.3999999999</v>
      </c>
      <c r="D115" s="10">
        <f t="shared" si="14"/>
        <v>2381146.88</v>
      </c>
      <c r="E115" s="10">
        <f t="shared" si="15"/>
        <v>3580672</v>
      </c>
      <c r="F115" s="10">
        <f t="shared" si="16"/>
        <v>125323.52</v>
      </c>
      <c r="G115" s="9">
        <v>0.85</v>
      </c>
      <c r="H115" s="11">
        <f t="shared" si="13"/>
        <v>2130499.84</v>
      </c>
      <c r="I115" s="12"/>
      <c r="J115" s="17"/>
      <c r="K115" s="26">
        <v>1790336</v>
      </c>
    </row>
    <row r="116" spans="1:11" ht="28.5" x14ac:dyDescent="0.2">
      <c r="A116" s="14" t="s">
        <v>193</v>
      </c>
      <c r="B116" s="14" t="s">
        <v>194</v>
      </c>
      <c r="C116" s="10">
        <f>+H116/G116</f>
        <v>2765954.8000000003</v>
      </c>
      <c r="D116" s="10">
        <f t="shared" si="14"/>
        <v>2627657.06</v>
      </c>
      <c r="E116" s="10">
        <f t="shared" si="15"/>
        <v>3951364.0000000005</v>
      </c>
      <c r="F116" s="10">
        <f t="shared" si="16"/>
        <v>138297.74000000002</v>
      </c>
      <c r="G116" s="9">
        <v>0.85</v>
      </c>
      <c r="H116" s="11">
        <f t="shared" si="13"/>
        <v>2351061.58</v>
      </c>
      <c r="I116" s="12"/>
      <c r="J116" s="17"/>
      <c r="K116" s="26">
        <v>1975682</v>
      </c>
    </row>
    <row r="117" spans="1:11" ht="15" x14ac:dyDescent="0.2">
      <c r="A117" s="31" t="s">
        <v>195</v>
      </c>
      <c r="B117" s="31"/>
      <c r="C117" s="31"/>
      <c r="D117" s="31"/>
      <c r="E117" s="31"/>
      <c r="F117" s="31"/>
      <c r="G117" s="9"/>
      <c r="H117" s="11"/>
      <c r="I117" s="12"/>
      <c r="J117" s="17"/>
      <c r="K117" s="18"/>
    </row>
    <row r="118" spans="1:11" ht="28.5" x14ac:dyDescent="0.2">
      <c r="A118" s="14" t="s">
        <v>196</v>
      </c>
      <c r="B118" s="14" t="s">
        <v>197</v>
      </c>
      <c r="C118" s="10">
        <f t="shared" ref="C118:C125" si="19">+H118/G118</f>
        <v>5439366.7999999998</v>
      </c>
      <c r="D118" s="10">
        <f t="shared" si="14"/>
        <v>5167398.46</v>
      </c>
      <c r="E118" s="10">
        <f t="shared" si="15"/>
        <v>7770524</v>
      </c>
      <c r="F118" s="10">
        <f t="shared" si="16"/>
        <v>271968.34000000003</v>
      </c>
      <c r="G118" s="9">
        <v>0.85</v>
      </c>
      <c r="H118" s="11">
        <f t="shared" si="13"/>
        <v>4623461.7799999993</v>
      </c>
      <c r="I118" s="12"/>
      <c r="J118" s="17"/>
      <c r="K118" s="26">
        <v>3885262</v>
      </c>
    </row>
    <row r="119" spans="1:11" ht="28.5" x14ac:dyDescent="0.2">
      <c r="A119" s="14" t="s">
        <v>198</v>
      </c>
      <c r="B119" s="14" t="s">
        <v>199</v>
      </c>
      <c r="C119" s="10">
        <f t="shared" si="19"/>
        <v>6960385.5999999996</v>
      </c>
      <c r="D119" s="10">
        <f t="shared" si="14"/>
        <v>6612366.3199999994</v>
      </c>
      <c r="E119" s="10">
        <f t="shared" si="15"/>
        <v>9943408</v>
      </c>
      <c r="F119" s="10">
        <f t="shared" si="16"/>
        <v>348019.28</v>
      </c>
      <c r="G119" s="9">
        <v>0.85</v>
      </c>
      <c r="H119" s="11">
        <f t="shared" si="13"/>
        <v>5916327.7599999998</v>
      </c>
      <c r="I119" s="12"/>
      <c r="J119" s="17"/>
      <c r="K119" s="26">
        <v>4971704</v>
      </c>
    </row>
    <row r="120" spans="1:11" ht="28.5" x14ac:dyDescent="0.2">
      <c r="A120" s="14" t="s">
        <v>200</v>
      </c>
      <c r="B120" s="14" t="s">
        <v>201</v>
      </c>
      <c r="C120" s="10">
        <f t="shared" si="19"/>
        <v>9693737.1999999993</v>
      </c>
      <c r="D120" s="10">
        <f t="shared" si="14"/>
        <v>9209050.3399999999</v>
      </c>
      <c r="E120" s="10">
        <f t="shared" si="15"/>
        <v>13848196</v>
      </c>
      <c r="F120" s="10">
        <f t="shared" si="16"/>
        <v>484686.86</v>
      </c>
      <c r="G120" s="9">
        <v>0.85</v>
      </c>
      <c r="H120" s="11">
        <f t="shared" si="13"/>
        <v>8239676.6199999992</v>
      </c>
      <c r="I120" s="12"/>
      <c r="J120" s="17"/>
      <c r="K120" s="26">
        <v>6924098</v>
      </c>
    </row>
    <row r="121" spans="1:11" ht="28.5" x14ac:dyDescent="0.2">
      <c r="A121" s="14" t="s">
        <v>202</v>
      </c>
      <c r="B121" s="14" t="s">
        <v>203</v>
      </c>
      <c r="C121" s="10">
        <f t="shared" si="19"/>
        <v>11343329.200000001</v>
      </c>
      <c r="D121" s="10">
        <f t="shared" si="14"/>
        <v>10776162.74</v>
      </c>
      <c r="E121" s="10">
        <f t="shared" si="15"/>
        <v>16204756.000000002</v>
      </c>
      <c r="F121" s="10">
        <f t="shared" si="16"/>
        <v>567166.46000000008</v>
      </c>
      <c r="G121" s="9">
        <v>0.85</v>
      </c>
      <c r="H121" s="11">
        <f t="shared" si="13"/>
        <v>9641829.8200000003</v>
      </c>
      <c r="I121" s="12"/>
      <c r="J121" s="17"/>
      <c r="K121" s="26">
        <v>8102378</v>
      </c>
    </row>
    <row r="122" spans="1:11" ht="28.5" x14ac:dyDescent="0.2">
      <c r="A122" s="14" t="s">
        <v>204</v>
      </c>
      <c r="B122" s="14" t="s">
        <v>205</v>
      </c>
      <c r="C122" s="10">
        <f t="shared" si="19"/>
        <v>13362690.6</v>
      </c>
      <c r="D122" s="10">
        <f t="shared" si="14"/>
        <v>12694556.07</v>
      </c>
      <c r="E122" s="10">
        <f t="shared" si="15"/>
        <v>19089558</v>
      </c>
      <c r="F122" s="10">
        <f t="shared" si="16"/>
        <v>668134.53</v>
      </c>
      <c r="G122" s="9">
        <v>0.85</v>
      </c>
      <c r="H122" s="11">
        <f t="shared" si="13"/>
        <v>11358287.01</v>
      </c>
      <c r="I122" s="12"/>
      <c r="J122" s="17"/>
      <c r="K122" s="26">
        <v>9544779</v>
      </c>
    </row>
    <row r="123" spans="1:11" ht="28.5" x14ac:dyDescent="0.2">
      <c r="A123" s="14" t="s">
        <v>206</v>
      </c>
      <c r="B123" s="14" t="s">
        <v>207</v>
      </c>
      <c r="C123" s="10">
        <f t="shared" si="19"/>
        <v>16124270.4</v>
      </c>
      <c r="D123" s="10">
        <f t="shared" si="14"/>
        <v>15318056.880000001</v>
      </c>
      <c r="E123" s="10">
        <f t="shared" si="15"/>
        <v>23034672.000000004</v>
      </c>
      <c r="F123" s="10">
        <f t="shared" si="16"/>
        <v>806213.52</v>
      </c>
      <c r="G123" s="9">
        <v>0.85</v>
      </c>
      <c r="H123" s="11">
        <f t="shared" si="13"/>
        <v>13705629.84</v>
      </c>
      <c r="I123" s="12"/>
      <c r="J123" s="17"/>
      <c r="K123" s="26">
        <v>11517336</v>
      </c>
    </row>
    <row r="124" spans="1:11" ht="28.5" x14ac:dyDescent="0.2">
      <c r="A124" s="14" t="s">
        <v>208</v>
      </c>
      <c r="B124" s="14" t="s">
        <v>209</v>
      </c>
      <c r="C124" s="10">
        <f t="shared" si="19"/>
        <v>20063194.199999999</v>
      </c>
      <c r="D124" s="10">
        <f t="shared" si="14"/>
        <v>19060034.489999998</v>
      </c>
      <c r="E124" s="10">
        <f t="shared" si="15"/>
        <v>28661706</v>
      </c>
      <c r="F124" s="10">
        <f t="shared" si="16"/>
        <v>1003159.71</v>
      </c>
      <c r="G124" s="9">
        <v>0.85</v>
      </c>
      <c r="H124" s="11">
        <f t="shared" si="13"/>
        <v>17053715.07</v>
      </c>
      <c r="I124" s="12"/>
      <c r="J124" s="17"/>
      <c r="K124" s="26">
        <v>14330853</v>
      </c>
    </row>
    <row r="125" spans="1:11" ht="28.5" x14ac:dyDescent="0.2">
      <c r="A125" s="14" t="s">
        <v>210</v>
      </c>
      <c r="B125" s="14" t="s">
        <v>211</v>
      </c>
      <c r="C125" s="10">
        <f t="shared" si="19"/>
        <v>22278671.799999997</v>
      </c>
      <c r="D125" s="10">
        <f t="shared" si="14"/>
        <v>21164738.209999997</v>
      </c>
      <c r="E125" s="10">
        <f t="shared" si="15"/>
        <v>31826673.999999996</v>
      </c>
      <c r="F125" s="10">
        <f t="shared" si="16"/>
        <v>1113933.5899999999</v>
      </c>
      <c r="G125" s="9">
        <v>0.85</v>
      </c>
      <c r="H125" s="11">
        <f t="shared" si="13"/>
        <v>18936871.029999997</v>
      </c>
      <c r="I125" s="12"/>
      <c r="J125" s="17"/>
      <c r="K125" s="26">
        <v>15913337</v>
      </c>
    </row>
    <row r="126" spans="1:11" ht="15" x14ac:dyDescent="0.2">
      <c r="A126" s="31" t="s">
        <v>212</v>
      </c>
      <c r="B126" s="31"/>
      <c r="C126" s="31"/>
      <c r="D126" s="31"/>
      <c r="E126" s="31"/>
      <c r="F126" s="31"/>
      <c r="G126" s="9"/>
      <c r="H126" s="11"/>
      <c r="I126" s="12"/>
      <c r="J126" s="17"/>
      <c r="K126" s="18"/>
    </row>
    <row r="127" spans="1:11" ht="28.5" x14ac:dyDescent="0.2">
      <c r="A127" s="14" t="s">
        <v>213</v>
      </c>
      <c r="B127" s="14" t="s">
        <v>214</v>
      </c>
      <c r="C127" s="10">
        <f>+H127/G127</f>
        <v>7956523.3999999994</v>
      </c>
      <c r="D127" s="10">
        <f t="shared" si="14"/>
        <v>7558697.2299999995</v>
      </c>
      <c r="E127" s="10">
        <f t="shared" si="15"/>
        <v>11366462</v>
      </c>
      <c r="F127" s="10">
        <f t="shared" si="16"/>
        <v>397826.17</v>
      </c>
      <c r="G127" s="9">
        <v>0.85</v>
      </c>
      <c r="H127" s="11">
        <f t="shared" si="13"/>
        <v>6763044.8899999997</v>
      </c>
      <c r="I127" s="12"/>
      <c r="J127" s="17"/>
      <c r="K127" s="26">
        <v>5683231</v>
      </c>
    </row>
    <row r="128" spans="1:11" ht="28.5" x14ac:dyDescent="0.2">
      <c r="A128" s="14" t="s">
        <v>215</v>
      </c>
      <c r="B128" s="14" t="s">
        <v>216</v>
      </c>
      <c r="C128" s="10">
        <f>+H128/G128</f>
        <v>9360548.4000000004</v>
      </c>
      <c r="D128" s="10">
        <f t="shared" si="14"/>
        <v>8892520.9800000004</v>
      </c>
      <c r="E128" s="10">
        <f t="shared" si="15"/>
        <v>13372212.000000002</v>
      </c>
      <c r="F128" s="10">
        <f t="shared" si="16"/>
        <v>468027.42000000004</v>
      </c>
      <c r="G128" s="9">
        <v>0.85</v>
      </c>
      <c r="H128" s="11">
        <f t="shared" si="13"/>
        <v>7956466.1399999997</v>
      </c>
      <c r="I128" s="12"/>
      <c r="J128" s="17"/>
      <c r="K128" s="26">
        <v>6686106</v>
      </c>
    </row>
    <row r="129" spans="1:11" ht="28.5" x14ac:dyDescent="0.2">
      <c r="A129" s="14" t="s">
        <v>217</v>
      </c>
      <c r="B129" s="14" t="s">
        <v>218</v>
      </c>
      <c r="C129" s="10">
        <f>+H129/G129</f>
        <v>11761306.199999999</v>
      </c>
      <c r="D129" s="10">
        <f t="shared" si="14"/>
        <v>11173240.889999999</v>
      </c>
      <c r="E129" s="10">
        <f t="shared" si="15"/>
        <v>16801866</v>
      </c>
      <c r="F129" s="10">
        <f t="shared" si="16"/>
        <v>588065.30999999994</v>
      </c>
      <c r="G129" s="9">
        <v>0.85</v>
      </c>
      <c r="H129" s="11">
        <f t="shared" si="13"/>
        <v>9997110.2699999996</v>
      </c>
      <c r="I129" s="12"/>
      <c r="J129" s="17"/>
      <c r="K129" s="26">
        <v>8400933</v>
      </c>
    </row>
    <row r="130" spans="1:11" ht="15" x14ac:dyDescent="0.2">
      <c r="A130" s="31" t="s">
        <v>219</v>
      </c>
      <c r="B130" s="31"/>
      <c r="C130" s="31"/>
      <c r="D130" s="31"/>
      <c r="E130" s="31"/>
      <c r="F130" s="31"/>
      <c r="G130" s="9"/>
      <c r="H130" s="11"/>
      <c r="I130" s="12"/>
      <c r="J130" s="17"/>
      <c r="K130" s="18"/>
    </row>
    <row r="131" spans="1:11" ht="28.5" x14ac:dyDescent="0.2">
      <c r="A131" s="14" t="s">
        <v>220</v>
      </c>
      <c r="B131" s="14" t="s">
        <v>221</v>
      </c>
      <c r="C131" s="10">
        <f>+H131/G131</f>
        <v>5971156.7999999998</v>
      </c>
      <c r="D131" s="10">
        <f t="shared" si="14"/>
        <v>5672598.96</v>
      </c>
      <c r="E131" s="10">
        <f t="shared" si="15"/>
        <v>8530224</v>
      </c>
      <c r="F131" s="10">
        <f t="shared" si="16"/>
        <v>298557.84000000003</v>
      </c>
      <c r="G131" s="9">
        <v>0.85</v>
      </c>
      <c r="H131" s="11">
        <f t="shared" si="13"/>
        <v>5075483.2799999993</v>
      </c>
      <c r="I131" s="12"/>
      <c r="J131" s="17"/>
      <c r="K131" s="26">
        <v>4265112</v>
      </c>
    </row>
    <row r="132" spans="1:11" ht="15" x14ac:dyDescent="0.2">
      <c r="A132" s="31" t="s">
        <v>222</v>
      </c>
      <c r="B132" s="31"/>
      <c r="C132" s="31"/>
      <c r="D132" s="31"/>
      <c r="E132" s="31"/>
      <c r="F132" s="31"/>
      <c r="G132" s="9"/>
      <c r="H132" s="11"/>
      <c r="I132" s="12"/>
      <c r="J132" s="17"/>
      <c r="K132" s="16"/>
    </row>
    <row r="133" spans="1:11" ht="28.5" x14ac:dyDescent="0.2">
      <c r="A133" s="14" t="s">
        <v>223</v>
      </c>
      <c r="B133" s="14" t="s">
        <v>224</v>
      </c>
      <c r="C133" s="10">
        <f t="shared" ref="C133:C140" si="20">+H133/G133</f>
        <v>32127422.599999998</v>
      </c>
      <c r="D133" s="10">
        <f t="shared" ref="D133:D196" si="21">+C133-F133</f>
        <v>30521051.469999999</v>
      </c>
      <c r="E133" s="10">
        <f t="shared" ref="E133:E196" si="22">+C133/0.7</f>
        <v>45896318</v>
      </c>
      <c r="F133" s="10">
        <f t="shared" ref="F133:F196" si="23">+C133*5%</f>
        <v>1606371.13</v>
      </c>
      <c r="G133" s="9">
        <v>0.85</v>
      </c>
      <c r="H133" s="11">
        <f t="shared" ref="H133:H164" si="24">K133*1.19</f>
        <v>27308309.209999997</v>
      </c>
      <c r="I133" s="12"/>
      <c r="J133" s="17"/>
      <c r="K133" s="26">
        <v>22948159</v>
      </c>
    </row>
    <row r="134" spans="1:11" ht="28.5" x14ac:dyDescent="0.2">
      <c r="A134" s="14" t="s">
        <v>225</v>
      </c>
      <c r="B134" s="14" t="s">
        <v>226</v>
      </c>
      <c r="C134" s="10">
        <f t="shared" si="20"/>
        <v>41966034.599999994</v>
      </c>
      <c r="D134" s="10">
        <f t="shared" si="21"/>
        <v>39867732.869999997</v>
      </c>
      <c r="E134" s="10">
        <f t="shared" si="22"/>
        <v>59951477.999999993</v>
      </c>
      <c r="F134" s="10">
        <f t="shared" si="23"/>
        <v>2098301.73</v>
      </c>
      <c r="G134" s="9">
        <v>0.85</v>
      </c>
      <c r="H134" s="11">
        <f t="shared" si="24"/>
        <v>35671129.409999996</v>
      </c>
      <c r="I134" s="12"/>
      <c r="J134" s="17"/>
      <c r="K134" s="26">
        <v>29975739</v>
      </c>
    </row>
    <row r="135" spans="1:11" ht="28.5" x14ac:dyDescent="0.2">
      <c r="A135" s="14" t="s">
        <v>227</v>
      </c>
      <c r="B135" s="14" t="s">
        <v>228</v>
      </c>
      <c r="C135" s="10">
        <f t="shared" si="20"/>
        <v>49977624.200000003</v>
      </c>
      <c r="D135" s="10">
        <f t="shared" si="21"/>
        <v>47478742.990000002</v>
      </c>
      <c r="E135" s="10">
        <f t="shared" si="22"/>
        <v>71396606.000000015</v>
      </c>
      <c r="F135" s="10">
        <f t="shared" si="23"/>
        <v>2498881.2100000004</v>
      </c>
      <c r="G135" s="9">
        <v>0.85</v>
      </c>
      <c r="H135" s="11">
        <f t="shared" si="24"/>
        <v>42480980.57</v>
      </c>
      <c r="I135" s="12"/>
      <c r="J135" s="17"/>
      <c r="K135" s="26">
        <v>35698303</v>
      </c>
    </row>
    <row r="136" spans="1:11" ht="28.5" x14ac:dyDescent="0.2">
      <c r="A136" s="14" t="s">
        <v>229</v>
      </c>
      <c r="B136" s="14" t="s">
        <v>230</v>
      </c>
      <c r="C136" s="10">
        <f t="shared" si="20"/>
        <v>53057632.600000001</v>
      </c>
      <c r="D136" s="10">
        <f t="shared" si="21"/>
        <v>50404750.969999999</v>
      </c>
      <c r="E136" s="10">
        <f t="shared" si="22"/>
        <v>75796618</v>
      </c>
      <c r="F136" s="10">
        <f t="shared" si="23"/>
        <v>2652881.6300000004</v>
      </c>
      <c r="G136" s="9">
        <v>0.85</v>
      </c>
      <c r="H136" s="11">
        <f t="shared" si="24"/>
        <v>45098987.710000001</v>
      </c>
      <c r="I136" s="12"/>
      <c r="J136" s="17"/>
      <c r="K136" s="26">
        <v>37898309</v>
      </c>
    </row>
    <row r="137" spans="1:11" ht="28.5" x14ac:dyDescent="0.2">
      <c r="A137" s="14" t="s">
        <v>231</v>
      </c>
      <c r="B137" s="14" t="s">
        <v>232</v>
      </c>
      <c r="C137" s="10">
        <f t="shared" si="20"/>
        <v>73989136.200000003</v>
      </c>
      <c r="D137" s="10">
        <f t="shared" si="21"/>
        <v>70289679.390000001</v>
      </c>
      <c r="E137" s="10">
        <f t="shared" si="22"/>
        <v>105698766.00000001</v>
      </c>
      <c r="F137" s="10">
        <f t="shared" si="23"/>
        <v>3699456.8100000005</v>
      </c>
      <c r="G137" s="9">
        <v>0.85</v>
      </c>
      <c r="H137" s="11">
        <f t="shared" si="24"/>
        <v>62890765.769999996</v>
      </c>
      <c r="I137" s="12"/>
      <c r="J137" s="17"/>
      <c r="K137" s="26">
        <v>52849383</v>
      </c>
    </row>
    <row r="138" spans="1:11" ht="28.5" x14ac:dyDescent="0.2">
      <c r="A138" s="14" t="s">
        <v>233</v>
      </c>
      <c r="B138" s="14" t="s">
        <v>234</v>
      </c>
      <c r="C138" s="10">
        <f t="shared" si="20"/>
        <v>85127204.399999991</v>
      </c>
      <c r="D138" s="10">
        <f t="shared" si="21"/>
        <v>80870844.179999992</v>
      </c>
      <c r="E138" s="10">
        <f t="shared" si="22"/>
        <v>121610292</v>
      </c>
      <c r="F138" s="10">
        <f t="shared" si="23"/>
        <v>4256360.22</v>
      </c>
      <c r="G138" s="9">
        <v>0.85</v>
      </c>
      <c r="H138" s="11">
        <f t="shared" si="24"/>
        <v>72358123.739999995</v>
      </c>
      <c r="I138" s="12"/>
      <c r="J138" s="17"/>
      <c r="K138" s="26">
        <v>60805146</v>
      </c>
    </row>
    <row r="139" spans="1:11" ht="28.5" x14ac:dyDescent="0.2">
      <c r="A139" s="14" t="s">
        <v>235</v>
      </c>
      <c r="B139" s="14" t="s">
        <v>236</v>
      </c>
      <c r="C139" s="10">
        <f t="shared" si="20"/>
        <v>125514418.40000001</v>
      </c>
      <c r="D139" s="10">
        <f t="shared" si="21"/>
        <v>119238697.48</v>
      </c>
      <c r="E139" s="10">
        <f t="shared" si="22"/>
        <v>179306312.00000003</v>
      </c>
      <c r="F139" s="10">
        <f t="shared" si="23"/>
        <v>6275720.9200000009</v>
      </c>
      <c r="G139" s="9">
        <v>0.85</v>
      </c>
      <c r="H139" s="11">
        <f t="shared" si="24"/>
        <v>106687255.64</v>
      </c>
      <c r="I139" s="12"/>
      <c r="J139" s="17"/>
      <c r="K139" s="26">
        <v>89653156</v>
      </c>
    </row>
    <row r="140" spans="1:11" ht="28.5" x14ac:dyDescent="0.2">
      <c r="A140" s="14" t="s">
        <v>237</v>
      </c>
      <c r="B140" s="14" t="s">
        <v>238</v>
      </c>
      <c r="C140" s="10">
        <f t="shared" si="20"/>
        <v>153660323.59999999</v>
      </c>
      <c r="D140" s="10">
        <f t="shared" si="21"/>
        <v>145977307.41999999</v>
      </c>
      <c r="E140" s="10">
        <f t="shared" si="22"/>
        <v>219514748</v>
      </c>
      <c r="F140" s="10">
        <f t="shared" si="23"/>
        <v>7683016.1799999997</v>
      </c>
      <c r="G140" s="9">
        <v>0.85</v>
      </c>
      <c r="H140" s="11">
        <f t="shared" si="24"/>
        <v>130611275.05999999</v>
      </c>
      <c r="I140" s="12"/>
      <c r="J140" s="17"/>
      <c r="K140" s="26">
        <v>109757374</v>
      </c>
    </row>
    <row r="141" spans="1:11" ht="15" x14ac:dyDescent="0.2">
      <c r="A141" s="31" t="s">
        <v>239</v>
      </c>
      <c r="B141" s="31"/>
      <c r="C141" s="31"/>
      <c r="D141" s="31"/>
      <c r="E141" s="31"/>
      <c r="F141" s="31"/>
      <c r="G141" s="9"/>
      <c r="H141" s="11"/>
      <c r="I141" s="12"/>
      <c r="J141" s="17"/>
      <c r="K141" s="16"/>
    </row>
    <row r="142" spans="1:11" ht="28.5" x14ac:dyDescent="0.2">
      <c r="A142" s="14" t="s">
        <v>240</v>
      </c>
      <c r="B142" s="14" t="s">
        <v>241</v>
      </c>
      <c r="C142" s="10">
        <f t="shared" ref="C142:C164" si="25">+H142/G142</f>
        <v>18184882.800000001</v>
      </c>
      <c r="D142" s="10">
        <f t="shared" si="21"/>
        <v>17275638.66</v>
      </c>
      <c r="E142" s="10">
        <f t="shared" si="22"/>
        <v>25978404.000000004</v>
      </c>
      <c r="F142" s="10">
        <f t="shared" si="23"/>
        <v>909244.14000000013</v>
      </c>
      <c r="G142" s="9">
        <v>0.85</v>
      </c>
      <c r="H142" s="11">
        <f t="shared" si="24"/>
        <v>15457150.379999999</v>
      </c>
      <c r="I142" s="12"/>
      <c r="J142" s="17"/>
      <c r="K142" s="26">
        <v>12989202</v>
      </c>
    </row>
    <row r="143" spans="1:11" ht="28.5" x14ac:dyDescent="0.2">
      <c r="A143" s="14" t="s">
        <v>242</v>
      </c>
      <c r="B143" s="14" t="s">
        <v>243</v>
      </c>
      <c r="C143" s="10">
        <f t="shared" si="25"/>
        <v>24496334.799999997</v>
      </c>
      <c r="D143" s="10">
        <f t="shared" si="21"/>
        <v>23271518.059999999</v>
      </c>
      <c r="E143" s="10">
        <f t="shared" si="22"/>
        <v>34994764</v>
      </c>
      <c r="F143" s="10">
        <f t="shared" si="23"/>
        <v>1224816.74</v>
      </c>
      <c r="G143" s="9">
        <v>0.85</v>
      </c>
      <c r="H143" s="11">
        <f t="shared" si="24"/>
        <v>20821884.579999998</v>
      </c>
      <c r="I143" s="12"/>
      <c r="J143" s="17"/>
      <c r="K143" s="26">
        <v>17497382</v>
      </c>
    </row>
    <row r="144" spans="1:11" ht="28.5" x14ac:dyDescent="0.2">
      <c r="A144" s="14" t="s">
        <v>244</v>
      </c>
      <c r="B144" s="14" t="s">
        <v>245</v>
      </c>
      <c r="C144" s="10">
        <f t="shared" si="25"/>
        <v>28525464.799999997</v>
      </c>
      <c r="D144" s="10">
        <f t="shared" si="21"/>
        <v>27099191.559999999</v>
      </c>
      <c r="E144" s="10">
        <f t="shared" si="22"/>
        <v>40750664</v>
      </c>
      <c r="F144" s="10">
        <f t="shared" si="23"/>
        <v>1426273.24</v>
      </c>
      <c r="G144" s="9">
        <v>0.85</v>
      </c>
      <c r="H144" s="11">
        <f t="shared" si="24"/>
        <v>24246645.079999998</v>
      </c>
      <c r="I144" s="12"/>
      <c r="J144" s="17"/>
      <c r="K144" s="26">
        <v>20375332</v>
      </c>
    </row>
    <row r="145" spans="1:11" ht="28.5" x14ac:dyDescent="0.2">
      <c r="A145" s="14" t="s">
        <v>246</v>
      </c>
      <c r="B145" s="14" t="s">
        <v>247</v>
      </c>
      <c r="C145" s="10">
        <f t="shared" si="25"/>
        <v>39138948.799999997</v>
      </c>
      <c r="D145" s="10">
        <f t="shared" si="21"/>
        <v>37182001.359999999</v>
      </c>
      <c r="E145" s="10">
        <f t="shared" si="22"/>
        <v>55912784</v>
      </c>
      <c r="F145" s="10">
        <f t="shared" si="23"/>
        <v>1956947.44</v>
      </c>
      <c r="G145" s="9">
        <v>0.85</v>
      </c>
      <c r="H145" s="11">
        <f t="shared" si="24"/>
        <v>33268106.479999997</v>
      </c>
      <c r="I145" s="12"/>
      <c r="J145" s="17"/>
      <c r="K145" s="26">
        <v>27956392</v>
      </c>
    </row>
    <row r="146" spans="1:11" ht="28.5" x14ac:dyDescent="0.2">
      <c r="A146" s="14" t="s">
        <v>248</v>
      </c>
      <c r="B146" s="14" t="s">
        <v>249</v>
      </c>
      <c r="C146" s="10">
        <f t="shared" si="25"/>
        <v>22413855.800000001</v>
      </c>
      <c r="D146" s="10">
        <f t="shared" si="21"/>
        <v>21293163.010000002</v>
      </c>
      <c r="E146" s="10">
        <f t="shared" si="22"/>
        <v>32019794.000000004</v>
      </c>
      <c r="F146" s="10">
        <f t="shared" si="23"/>
        <v>1120692.79</v>
      </c>
      <c r="G146" s="9">
        <v>0.85</v>
      </c>
      <c r="H146" s="11">
        <f t="shared" si="24"/>
        <v>19051777.43</v>
      </c>
      <c r="I146" s="12"/>
      <c r="J146" s="17"/>
      <c r="K146" s="26">
        <v>16009897</v>
      </c>
    </row>
    <row r="147" spans="1:11" ht="28.5" x14ac:dyDescent="0.2">
      <c r="A147" s="14" t="s">
        <v>250</v>
      </c>
      <c r="B147" s="14" t="s">
        <v>251</v>
      </c>
      <c r="C147" s="10">
        <f t="shared" si="25"/>
        <v>28394405.199999999</v>
      </c>
      <c r="D147" s="10">
        <f t="shared" si="21"/>
        <v>26974684.939999998</v>
      </c>
      <c r="E147" s="10">
        <f t="shared" si="22"/>
        <v>40563436</v>
      </c>
      <c r="F147" s="10">
        <f t="shared" si="23"/>
        <v>1419720.26</v>
      </c>
      <c r="G147" s="9">
        <v>0.85</v>
      </c>
      <c r="H147" s="11">
        <f t="shared" si="24"/>
        <v>24135244.419999998</v>
      </c>
      <c r="I147" s="12"/>
      <c r="J147" s="17"/>
      <c r="K147" s="26">
        <v>20281718</v>
      </c>
    </row>
    <row r="148" spans="1:11" ht="28.5" x14ac:dyDescent="0.2">
      <c r="A148" s="14" t="s">
        <v>252</v>
      </c>
      <c r="B148" s="14" t="s">
        <v>253</v>
      </c>
      <c r="C148" s="10">
        <f t="shared" si="25"/>
        <v>31873703.400000002</v>
      </c>
      <c r="D148" s="10">
        <f t="shared" si="21"/>
        <v>30280018.23</v>
      </c>
      <c r="E148" s="10">
        <f t="shared" si="22"/>
        <v>45533862.000000007</v>
      </c>
      <c r="F148" s="10">
        <f t="shared" si="23"/>
        <v>1593685.1700000002</v>
      </c>
      <c r="G148" s="9">
        <v>0.85</v>
      </c>
      <c r="H148" s="11">
        <f t="shared" si="24"/>
        <v>27092647.890000001</v>
      </c>
      <c r="I148" s="12"/>
      <c r="J148" s="17"/>
      <c r="K148" s="26">
        <v>22766931</v>
      </c>
    </row>
    <row r="149" spans="1:11" ht="28.5" x14ac:dyDescent="0.2">
      <c r="A149" s="14" t="s">
        <v>254</v>
      </c>
      <c r="B149" s="14" t="s">
        <v>255</v>
      </c>
      <c r="C149" s="10">
        <f t="shared" si="25"/>
        <v>48763106</v>
      </c>
      <c r="D149" s="10">
        <f t="shared" si="21"/>
        <v>46324950.700000003</v>
      </c>
      <c r="E149" s="10">
        <f t="shared" si="22"/>
        <v>69661580</v>
      </c>
      <c r="F149" s="10">
        <f t="shared" si="23"/>
        <v>2438155.3000000003</v>
      </c>
      <c r="G149" s="9">
        <v>0.85</v>
      </c>
      <c r="H149" s="11">
        <f t="shared" si="24"/>
        <v>41448640.100000001</v>
      </c>
      <c r="I149" s="12"/>
      <c r="J149" s="17"/>
      <c r="K149" s="26">
        <v>34830790</v>
      </c>
    </row>
    <row r="150" spans="1:11" ht="28.5" x14ac:dyDescent="0.2">
      <c r="A150" s="14" t="s">
        <v>256</v>
      </c>
      <c r="B150" s="14" t="s">
        <v>257</v>
      </c>
      <c r="C150" s="10">
        <f t="shared" si="25"/>
        <v>26911606.399999999</v>
      </c>
      <c r="D150" s="10">
        <f t="shared" si="21"/>
        <v>25566026.079999998</v>
      </c>
      <c r="E150" s="10">
        <f t="shared" si="22"/>
        <v>38445152</v>
      </c>
      <c r="F150" s="10">
        <f t="shared" si="23"/>
        <v>1345580.32</v>
      </c>
      <c r="G150" s="9">
        <v>0.85</v>
      </c>
      <c r="H150" s="11">
        <f t="shared" si="24"/>
        <v>22874865.439999998</v>
      </c>
      <c r="I150" s="12"/>
      <c r="J150" s="17"/>
      <c r="K150" s="26">
        <v>19222576</v>
      </c>
    </row>
    <row r="151" spans="1:11" ht="28.5" x14ac:dyDescent="0.2">
      <c r="A151" s="14" t="s">
        <v>258</v>
      </c>
      <c r="B151" s="14" t="s">
        <v>259</v>
      </c>
      <c r="C151" s="10">
        <f t="shared" si="25"/>
        <v>32495103.199999999</v>
      </c>
      <c r="D151" s="10">
        <f t="shared" si="21"/>
        <v>30870348.039999999</v>
      </c>
      <c r="E151" s="10">
        <f t="shared" si="22"/>
        <v>46421576</v>
      </c>
      <c r="F151" s="10">
        <f t="shared" si="23"/>
        <v>1624755.1600000001</v>
      </c>
      <c r="G151" s="9">
        <v>0.85</v>
      </c>
      <c r="H151" s="11">
        <f t="shared" si="24"/>
        <v>27620837.719999999</v>
      </c>
      <c r="I151" s="12"/>
      <c r="J151" s="17"/>
      <c r="K151" s="26">
        <v>23210788</v>
      </c>
    </row>
    <row r="152" spans="1:11" ht="28.5" x14ac:dyDescent="0.2">
      <c r="A152" s="14" t="s">
        <v>260</v>
      </c>
      <c r="B152" s="14" t="s">
        <v>261</v>
      </c>
      <c r="C152" s="10">
        <f t="shared" si="25"/>
        <v>42301708.399999999</v>
      </c>
      <c r="D152" s="10">
        <f t="shared" si="21"/>
        <v>40186622.979999997</v>
      </c>
      <c r="E152" s="10">
        <f t="shared" si="22"/>
        <v>60431012</v>
      </c>
      <c r="F152" s="10">
        <f t="shared" si="23"/>
        <v>2115085.42</v>
      </c>
      <c r="G152" s="9">
        <v>0.85</v>
      </c>
      <c r="H152" s="11">
        <f t="shared" si="24"/>
        <v>35956452.140000001</v>
      </c>
      <c r="I152" s="12"/>
      <c r="J152" s="17"/>
      <c r="K152" s="26">
        <v>30215506</v>
      </c>
    </row>
    <row r="153" spans="1:11" ht="28.5" x14ac:dyDescent="0.2">
      <c r="A153" s="14" t="s">
        <v>262</v>
      </c>
      <c r="B153" s="14" t="s">
        <v>263</v>
      </c>
      <c r="C153" s="10">
        <f t="shared" si="25"/>
        <v>61001333.400000006</v>
      </c>
      <c r="D153" s="10">
        <f t="shared" si="21"/>
        <v>57951266.730000004</v>
      </c>
      <c r="E153" s="10">
        <f t="shared" si="22"/>
        <v>87144762.000000015</v>
      </c>
      <c r="F153" s="10">
        <f t="shared" si="23"/>
        <v>3050066.6700000004</v>
      </c>
      <c r="G153" s="9">
        <v>0.85</v>
      </c>
      <c r="H153" s="11">
        <f t="shared" si="24"/>
        <v>51851133.390000001</v>
      </c>
      <c r="I153" s="12"/>
      <c r="J153" s="17"/>
      <c r="K153" s="26">
        <v>43572381</v>
      </c>
    </row>
    <row r="154" spans="1:11" ht="28.5" x14ac:dyDescent="0.2">
      <c r="A154" s="14" t="s">
        <v>264</v>
      </c>
      <c r="B154" s="14" t="s">
        <v>265</v>
      </c>
      <c r="C154" s="10">
        <f t="shared" si="25"/>
        <v>33821198.600000001</v>
      </c>
      <c r="D154" s="10">
        <f t="shared" si="21"/>
        <v>32130138.670000002</v>
      </c>
      <c r="E154" s="10">
        <f t="shared" si="22"/>
        <v>48315998.000000007</v>
      </c>
      <c r="F154" s="10">
        <f t="shared" si="23"/>
        <v>1691059.9300000002</v>
      </c>
      <c r="G154" s="9">
        <v>0.85</v>
      </c>
      <c r="H154" s="11">
        <f t="shared" si="24"/>
        <v>28748018.809999999</v>
      </c>
      <c r="I154" s="12"/>
      <c r="J154" s="17"/>
      <c r="K154" s="26">
        <v>24157999</v>
      </c>
    </row>
    <row r="155" spans="1:11" ht="28.5" x14ac:dyDescent="0.2">
      <c r="A155" s="14" t="s">
        <v>266</v>
      </c>
      <c r="B155" s="14" t="s">
        <v>267</v>
      </c>
      <c r="C155" s="10">
        <f t="shared" si="25"/>
        <v>39292323</v>
      </c>
      <c r="D155" s="10">
        <f t="shared" si="21"/>
        <v>37327706.850000001</v>
      </c>
      <c r="E155" s="10">
        <f t="shared" si="22"/>
        <v>56131890</v>
      </c>
      <c r="F155" s="10">
        <f t="shared" si="23"/>
        <v>1964616.1500000001</v>
      </c>
      <c r="G155" s="9">
        <v>0.85</v>
      </c>
      <c r="H155" s="11">
        <f t="shared" si="24"/>
        <v>33398474.549999997</v>
      </c>
      <c r="I155" s="12"/>
      <c r="J155" s="17"/>
      <c r="K155" s="26">
        <v>28065945</v>
      </c>
    </row>
    <row r="156" spans="1:11" ht="28.5" x14ac:dyDescent="0.2">
      <c r="A156" s="14" t="s">
        <v>268</v>
      </c>
      <c r="B156" s="14" t="s">
        <v>269</v>
      </c>
      <c r="C156" s="10">
        <f t="shared" si="25"/>
        <v>49320938.799999997</v>
      </c>
      <c r="D156" s="10">
        <f t="shared" si="21"/>
        <v>46854891.859999999</v>
      </c>
      <c r="E156" s="10">
        <f t="shared" si="22"/>
        <v>70458484</v>
      </c>
      <c r="F156" s="10">
        <f t="shared" si="23"/>
        <v>2466046.94</v>
      </c>
      <c r="G156" s="9">
        <v>0.85</v>
      </c>
      <c r="H156" s="11">
        <f t="shared" si="24"/>
        <v>41922797.979999997</v>
      </c>
      <c r="I156" s="12"/>
      <c r="J156" s="17"/>
      <c r="K156" s="26">
        <v>35229242</v>
      </c>
    </row>
    <row r="157" spans="1:11" ht="28.5" x14ac:dyDescent="0.2">
      <c r="A157" s="14" t="s">
        <v>270</v>
      </c>
      <c r="B157" s="14" t="s">
        <v>271</v>
      </c>
      <c r="C157" s="10">
        <f t="shared" si="25"/>
        <v>69602316</v>
      </c>
      <c r="D157" s="10">
        <f t="shared" si="21"/>
        <v>66122200.200000003</v>
      </c>
      <c r="E157" s="10">
        <f t="shared" si="22"/>
        <v>99431880</v>
      </c>
      <c r="F157" s="10">
        <f t="shared" si="23"/>
        <v>3480115.8000000003</v>
      </c>
      <c r="G157" s="9">
        <v>0.85</v>
      </c>
      <c r="H157" s="11">
        <f t="shared" si="24"/>
        <v>59161968.599999994</v>
      </c>
      <c r="I157" s="12"/>
      <c r="J157" s="17"/>
      <c r="K157" s="26">
        <v>49715940</v>
      </c>
    </row>
    <row r="158" spans="1:11" ht="28.5" x14ac:dyDescent="0.2">
      <c r="A158" s="14" t="s">
        <v>272</v>
      </c>
      <c r="B158" s="14" t="s">
        <v>273</v>
      </c>
      <c r="C158" s="10">
        <f t="shared" si="25"/>
        <v>44123312.799999997</v>
      </c>
      <c r="D158" s="10">
        <f t="shared" si="21"/>
        <v>41917147.159999996</v>
      </c>
      <c r="E158" s="10">
        <f t="shared" si="22"/>
        <v>63033304</v>
      </c>
      <c r="F158" s="10">
        <f t="shared" si="23"/>
        <v>2206165.64</v>
      </c>
      <c r="G158" s="9">
        <v>0.85</v>
      </c>
      <c r="H158" s="11">
        <f t="shared" si="24"/>
        <v>37504815.879999995</v>
      </c>
      <c r="I158" s="12"/>
      <c r="J158" s="17"/>
      <c r="K158" s="26">
        <v>31516652</v>
      </c>
    </row>
    <row r="159" spans="1:11" ht="28.5" x14ac:dyDescent="0.2">
      <c r="A159" s="14" t="s">
        <v>274</v>
      </c>
      <c r="B159" s="14" t="s">
        <v>275</v>
      </c>
      <c r="C159" s="10">
        <f t="shared" si="25"/>
        <v>51102783.200000003</v>
      </c>
      <c r="D159" s="10">
        <f t="shared" si="21"/>
        <v>48547644.040000007</v>
      </c>
      <c r="E159" s="10">
        <f t="shared" si="22"/>
        <v>73003976.000000015</v>
      </c>
      <c r="F159" s="10">
        <f t="shared" si="23"/>
        <v>2555139.16</v>
      </c>
      <c r="G159" s="9">
        <v>0.85</v>
      </c>
      <c r="H159" s="11">
        <f t="shared" si="24"/>
        <v>43437365.719999999</v>
      </c>
      <c r="I159" s="12"/>
      <c r="J159" s="17"/>
      <c r="K159" s="26">
        <v>36501988</v>
      </c>
    </row>
    <row r="160" spans="1:11" ht="28.5" x14ac:dyDescent="0.2">
      <c r="A160" s="14" t="s">
        <v>276</v>
      </c>
      <c r="B160" s="14" t="s">
        <v>277</v>
      </c>
      <c r="C160" s="10">
        <f t="shared" si="25"/>
        <v>62143538.799999997</v>
      </c>
      <c r="D160" s="10">
        <f t="shared" si="21"/>
        <v>59036361.859999999</v>
      </c>
      <c r="E160" s="10">
        <f t="shared" si="22"/>
        <v>88776484</v>
      </c>
      <c r="F160" s="10">
        <f t="shared" si="23"/>
        <v>3107176.94</v>
      </c>
      <c r="G160" s="9">
        <v>0.85</v>
      </c>
      <c r="H160" s="11">
        <f t="shared" si="24"/>
        <v>52822007.979999997</v>
      </c>
      <c r="I160" s="12"/>
      <c r="J160" s="17"/>
      <c r="K160" s="26">
        <v>44388242</v>
      </c>
    </row>
    <row r="161" spans="1:11" ht="28.5" x14ac:dyDescent="0.2">
      <c r="A161" s="14" t="s">
        <v>278</v>
      </c>
      <c r="B161" s="14" t="s">
        <v>279</v>
      </c>
      <c r="C161" s="10">
        <f t="shared" si="25"/>
        <v>41033563.200000003</v>
      </c>
      <c r="D161" s="10">
        <f t="shared" si="21"/>
        <v>38981885.040000007</v>
      </c>
      <c r="E161" s="10">
        <f t="shared" si="22"/>
        <v>58619376.000000007</v>
      </c>
      <c r="F161" s="10">
        <f t="shared" si="23"/>
        <v>2051678.1600000001</v>
      </c>
      <c r="G161" s="9">
        <v>0.85</v>
      </c>
      <c r="H161" s="11">
        <f t="shared" si="24"/>
        <v>34878528.719999999</v>
      </c>
      <c r="I161" s="12"/>
      <c r="J161" s="17"/>
      <c r="K161" s="26">
        <v>29309688</v>
      </c>
    </row>
    <row r="162" spans="1:11" ht="28.5" x14ac:dyDescent="0.2">
      <c r="A162" s="14" t="s">
        <v>280</v>
      </c>
      <c r="B162" s="14" t="s">
        <v>281</v>
      </c>
      <c r="C162" s="10">
        <f t="shared" si="25"/>
        <v>63586528.599999994</v>
      </c>
      <c r="D162" s="10">
        <f t="shared" si="21"/>
        <v>60407202.169999994</v>
      </c>
      <c r="E162" s="10">
        <f t="shared" si="22"/>
        <v>90837898</v>
      </c>
      <c r="F162" s="10">
        <f t="shared" si="23"/>
        <v>3179326.4299999997</v>
      </c>
      <c r="G162" s="9">
        <v>0.85</v>
      </c>
      <c r="H162" s="11">
        <f t="shared" si="24"/>
        <v>54048549.309999995</v>
      </c>
      <c r="I162" s="12"/>
      <c r="J162" s="17"/>
      <c r="K162" s="26">
        <v>45418949</v>
      </c>
    </row>
    <row r="163" spans="1:11" ht="28.5" x14ac:dyDescent="0.2">
      <c r="A163" s="14" t="s">
        <v>282</v>
      </c>
      <c r="B163" s="14" t="s">
        <v>283</v>
      </c>
      <c r="C163" s="10">
        <f t="shared" si="25"/>
        <v>59540500.600000001</v>
      </c>
      <c r="D163" s="10">
        <f t="shared" si="21"/>
        <v>56563475.57</v>
      </c>
      <c r="E163" s="10">
        <f t="shared" si="22"/>
        <v>85057858.000000015</v>
      </c>
      <c r="F163" s="10">
        <f t="shared" si="23"/>
        <v>2977025.0300000003</v>
      </c>
      <c r="G163" s="9">
        <v>0.85</v>
      </c>
      <c r="H163" s="11">
        <f t="shared" si="24"/>
        <v>50609425.509999998</v>
      </c>
      <c r="I163" s="12"/>
      <c r="J163" s="17"/>
      <c r="K163" s="26">
        <v>42528929</v>
      </c>
    </row>
    <row r="164" spans="1:11" ht="28.5" x14ac:dyDescent="0.2">
      <c r="A164" s="14" t="s">
        <v>284</v>
      </c>
      <c r="B164" s="14" t="s">
        <v>285</v>
      </c>
      <c r="C164" s="10">
        <f t="shared" si="25"/>
        <v>66684577.399999999</v>
      </c>
      <c r="D164" s="10">
        <f t="shared" si="21"/>
        <v>63350348.530000001</v>
      </c>
      <c r="E164" s="10">
        <f t="shared" si="22"/>
        <v>95263682</v>
      </c>
      <c r="F164" s="10">
        <f t="shared" si="23"/>
        <v>3334228.87</v>
      </c>
      <c r="G164" s="9">
        <v>0.85</v>
      </c>
      <c r="H164" s="11">
        <f t="shared" si="24"/>
        <v>56681890.789999999</v>
      </c>
      <c r="I164" s="12"/>
      <c r="J164" s="17"/>
      <c r="K164" s="26">
        <v>47631841</v>
      </c>
    </row>
    <row r="165" spans="1:11" ht="15" x14ac:dyDescent="0.2">
      <c r="A165" s="31" t="s">
        <v>286</v>
      </c>
      <c r="B165" s="31"/>
      <c r="C165" s="31"/>
      <c r="D165" s="31"/>
      <c r="E165" s="31"/>
      <c r="F165" s="31"/>
      <c r="G165" s="9"/>
      <c r="H165" s="11"/>
      <c r="I165" s="12"/>
      <c r="J165" s="17"/>
      <c r="K165" s="16"/>
    </row>
    <row r="166" spans="1:11" ht="28.5" x14ac:dyDescent="0.2">
      <c r="A166" s="14" t="s">
        <v>287</v>
      </c>
      <c r="B166" s="14" t="s">
        <v>288</v>
      </c>
      <c r="C166" s="10">
        <f t="shared" ref="C166:C188" si="26">+H166/G166</f>
        <v>13171.199999999999</v>
      </c>
      <c r="D166" s="10">
        <f t="shared" si="21"/>
        <v>12512.64</v>
      </c>
      <c r="E166" s="10">
        <f t="shared" si="22"/>
        <v>18816</v>
      </c>
      <c r="F166" s="10">
        <f t="shared" si="23"/>
        <v>658.56</v>
      </c>
      <c r="G166" s="9">
        <v>0.85</v>
      </c>
      <c r="H166" s="11">
        <f t="shared" ref="H166:H229" si="27">K166*1.19</f>
        <v>11195.519999999999</v>
      </c>
      <c r="I166" s="12"/>
      <c r="J166" s="17"/>
      <c r="K166" s="26">
        <v>9408</v>
      </c>
    </row>
    <row r="167" spans="1:11" ht="28.5" x14ac:dyDescent="0.2">
      <c r="A167" s="14" t="s">
        <v>289</v>
      </c>
      <c r="B167" s="14" t="s">
        <v>290</v>
      </c>
      <c r="C167" s="10">
        <f t="shared" si="26"/>
        <v>17395</v>
      </c>
      <c r="D167" s="10">
        <f t="shared" si="21"/>
        <v>16525.25</v>
      </c>
      <c r="E167" s="10">
        <f t="shared" si="22"/>
        <v>24850</v>
      </c>
      <c r="F167" s="10">
        <f t="shared" si="23"/>
        <v>869.75</v>
      </c>
      <c r="G167" s="9">
        <v>0.85</v>
      </c>
      <c r="H167" s="11">
        <f t="shared" si="27"/>
        <v>14785.75</v>
      </c>
      <c r="I167" s="12"/>
      <c r="J167" s="17"/>
      <c r="K167" s="26">
        <v>12425</v>
      </c>
    </row>
    <row r="168" spans="1:11" ht="28.5" x14ac:dyDescent="0.2">
      <c r="A168" s="14" t="s">
        <v>291</v>
      </c>
      <c r="B168" s="14" t="s">
        <v>292</v>
      </c>
      <c r="C168" s="10">
        <f t="shared" si="26"/>
        <v>19234.599999999999</v>
      </c>
      <c r="D168" s="10">
        <f t="shared" si="21"/>
        <v>18272.87</v>
      </c>
      <c r="E168" s="10">
        <f t="shared" si="22"/>
        <v>27478</v>
      </c>
      <c r="F168" s="10">
        <f t="shared" si="23"/>
        <v>961.73</v>
      </c>
      <c r="G168" s="9">
        <v>0.85</v>
      </c>
      <c r="H168" s="11">
        <f t="shared" si="27"/>
        <v>16349.41</v>
      </c>
      <c r="I168" s="12"/>
      <c r="J168" s="17"/>
      <c r="K168" s="26">
        <v>13739</v>
      </c>
    </row>
    <row r="169" spans="1:11" ht="28.5" x14ac:dyDescent="0.2">
      <c r="A169" s="14" t="s">
        <v>293</v>
      </c>
      <c r="B169" s="14" t="s">
        <v>294</v>
      </c>
      <c r="C169" s="10">
        <f t="shared" si="26"/>
        <v>28527.8</v>
      </c>
      <c r="D169" s="10">
        <f t="shared" si="21"/>
        <v>27101.41</v>
      </c>
      <c r="E169" s="10">
        <f t="shared" si="22"/>
        <v>40754</v>
      </c>
      <c r="F169" s="10">
        <f t="shared" si="23"/>
        <v>1426.39</v>
      </c>
      <c r="G169" s="9">
        <v>0.85</v>
      </c>
      <c r="H169" s="11">
        <f t="shared" si="27"/>
        <v>24248.629999999997</v>
      </c>
      <c r="I169" s="12"/>
      <c r="J169" s="17"/>
      <c r="K169" s="26">
        <v>20377</v>
      </c>
    </row>
    <row r="170" spans="1:11" ht="28.5" x14ac:dyDescent="0.2">
      <c r="A170" s="14" t="s">
        <v>295</v>
      </c>
      <c r="B170" s="14" t="s">
        <v>296</v>
      </c>
      <c r="C170" s="10">
        <f t="shared" si="26"/>
        <v>45575.6</v>
      </c>
      <c r="D170" s="10">
        <f t="shared" si="21"/>
        <v>43296.82</v>
      </c>
      <c r="E170" s="10">
        <f t="shared" si="22"/>
        <v>65108</v>
      </c>
      <c r="F170" s="10">
        <f t="shared" si="23"/>
        <v>2278.7800000000002</v>
      </c>
      <c r="G170" s="9">
        <v>0.85</v>
      </c>
      <c r="H170" s="11">
        <f t="shared" si="27"/>
        <v>38739.259999999995</v>
      </c>
      <c r="I170" s="12"/>
      <c r="J170" s="17"/>
      <c r="K170" s="26">
        <v>32554</v>
      </c>
    </row>
    <row r="171" spans="1:11" ht="28.5" x14ac:dyDescent="0.2">
      <c r="A171" s="14" t="s">
        <v>297</v>
      </c>
      <c r="B171" s="14" t="s">
        <v>298</v>
      </c>
      <c r="C171" s="10">
        <f t="shared" si="26"/>
        <v>37027.199999999997</v>
      </c>
      <c r="D171" s="10">
        <f t="shared" si="21"/>
        <v>35175.839999999997</v>
      </c>
      <c r="E171" s="10">
        <f t="shared" si="22"/>
        <v>52896</v>
      </c>
      <c r="F171" s="10">
        <f t="shared" si="23"/>
        <v>1851.36</v>
      </c>
      <c r="G171" s="9">
        <v>0.85</v>
      </c>
      <c r="H171" s="11">
        <f t="shared" si="27"/>
        <v>31473.119999999999</v>
      </c>
      <c r="I171" s="12"/>
      <c r="J171" s="17"/>
      <c r="K171" s="26">
        <v>26448</v>
      </c>
    </row>
    <row r="172" spans="1:11" ht="28.5" x14ac:dyDescent="0.2">
      <c r="A172" s="14" t="s">
        <v>299</v>
      </c>
      <c r="B172" s="14" t="s">
        <v>300</v>
      </c>
      <c r="C172" s="10">
        <f t="shared" si="26"/>
        <v>38021.199999999997</v>
      </c>
      <c r="D172" s="10">
        <f t="shared" si="21"/>
        <v>36120.14</v>
      </c>
      <c r="E172" s="10">
        <f t="shared" si="22"/>
        <v>54316</v>
      </c>
      <c r="F172" s="10">
        <f t="shared" si="23"/>
        <v>1901.06</v>
      </c>
      <c r="G172" s="9">
        <v>0.85</v>
      </c>
      <c r="H172" s="11">
        <f t="shared" si="27"/>
        <v>32318.019999999997</v>
      </c>
      <c r="I172" s="12"/>
      <c r="J172" s="17"/>
      <c r="K172" s="26">
        <v>27158</v>
      </c>
    </row>
    <row r="173" spans="1:11" ht="28.5" x14ac:dyDescent="0.2">
      <c r="A173" s="14" t="s">
        <v>301</v>
      </c>
      <c r="B173" s="14" t="s">
        <v>302</v>
      </c>
      <c r="C173" s="10">
        <f t="shared" si="26"/>
        <v>46370.8</v>
      </c>
      <c r="D173" s="10">
        <f t="shared" si="21"/>
        <v>44052.26</v>
      </c>
      <c r="E173" s="10">
        <f t="shared" si="22"/>
        <v>66244.000000000015</v>
      </c>
      <c r="F173" s="10">
        <f t="shared" si="23"/>
        <v>2318.5400000000004</v>
      </c>
      <c r="G173" s="9">
        <v>0.85</v>
      </c>
      <c r="H173" s="11">
        <f t="shared" si="27"/>
        <v>39415.18</v>
      </c>
      <c r="I173" s="12"/>
      <c r="J173" s="17"/>
      <c r="K173" s="26">
        <v>33122</v>
      </c>
    </row>
    <row r="174" spans="1:11" ht="28.5" x14ac:dyDescent="0.2">
      <c r="A174" s="14" t="s">
        <v>303</v>
      </c>
      <c r="B174" s="14" t="s">
        <v>304</v>
      </c>
      <c r="C174" s="10">
        <f t="shared" si="26"/>
        <v>49562.799999999996</v>
      </c>
      <c r="D174" s="10">
        <f t="shared" si="21"/>
        <v>47084.659999999996</v>
      </c>
      <c r="E174" s="10">
        <f t="shared" si="22"/>
        <v>70804</v>
      </c>
      <c r="F174" s="10">
        <f t="shared" si="23"/>
        <v>2478.14</v>
      </c>
      <c r="G174" s="9">
        <v>0.85</v>
      </c>
      <c r="H174" s="11">
        <f t="shared" si="27"/>
        <v>42128.38</v>
      </c>
      <c r="I174" s="12"/>
      <c r="J174" s="17"/>
      <c r="K174" s="26">
        <v>35402</v>
      </c>
    </row>
    <row r="175" spans="1:11" ht="28.5" x14ac:dyDescent="0.2">
      <c r="A175" s="14" t="s">
        <v>305</v>
      </c>
      <c r="B175" s="14" t="s">
        <v>306</v>
      </c>
      <c r="C175" s="10">
        <f t="shared" si="26"/>
        <v>69182.400000000009</v>
      </c>
      <c r="D175" s="10">
        <f t="shared" si="21"/>
        <v>65723.280000000013</v>
      </c>
      <c r="E175" s="10">
        <f t="shared" si="22"/>
        <v>98832.000000000015</v>
      </c>
      <c r="F175" s="10">
        <f t="shared" si="23"/>
        <v>3459.1200000000008</v>
      </c>
      <c r="G175" s="9">
        <v>0.85</v>
      </c>
      <c r="H175" s="11">
        <f t="shared" si="27"/>
        <v>58805.04</v>
      </c>
      <c r="I175" s="12"/>
      <c r="J175" s="17"/>
      <c r="K175" s="26">
        <v>49416</v>
      </c>
    </row>
    <row r="176" spans="1:11" ht="28.5" x14ac:dyDescent="0.2">
      <c r="A176" s="14" t="s">
        <v>307</v>
      </c>
      <c r="B176" s="14" t="s">
        <v>308</v>
      </c>
      <c r="C176" s="10">
        <f t="shared" si="26"/>
        <v>90206.2</v>
      </c>
      <c r="D176" s="10">
        <f t="shared" si="21"/>
        <v>85695.89</v>
      </c>
      <c r="E176" s="10">
        <f t="shared" si="22"/>
        <v>128866</v>
      </c>
      <c r="F176" s="10">
        <f t="shared" si="23"/>
        <v>4510.3100000000004</v>
      </c>
      <c r="G176" s="9">
        <v>0.85</v>
      </c>
      <c r="H176" s="11">
        <f t="shared" si="27"/>
        <v>76675.26999999999</v>
      </c>
      <c r="I176" s="12"/>
      <c r="J176" s="17"/>
      <c r="K176" s="26">
        <v>64433</v>
      </c>
    </row>
    <row r="177" spans="1:11" ht="28.5" x14ac:dyDescent="0.2">
      <c r="A177" s="14" t="s">
        <v>309</v>
      </c>
      <c r="B177" s="14" t="s">
        <v>310</v>
      </c>
      <c r="C177" s="10">
        <f t="shared" si="26"/>
        <v>136376.79999999999</v>
      </c>
      <c r="D177" s="10">
        <f t="shared" si="21"/>
        <v>129557.95999999999</v>
      </c>
      <c r="E177" s="10">
        <f t="shared" si="22"/>
        <v>194824</v>
      </c>
      <c r="F177" s="10">
        <f t="shared" si="23"/>
        <v>6818.84</v>
      </c>
      <c r="G177" s="9">
        <v>0.85</v>
      </c>
      <c r="H177" s="11">
        <f t="shared" si="27"/>
        <v>115920.28</v>
      </c>
      <c r="I177" s="12"/>
      <c r="J177" s="17"/>
      <c r="K177" s="26">
        <v>97412</v>
      </c>
    </row>
    <row r="178" spans="1:11" ht="28.5" x14ac:dyDescent="0.2">
      <c r="A178" s="14" t="s">
        <v>311</v>
      </c>
      <c r="B178" s="14" t="s">
        <v>312</v>
      </c>
      <c r="C178" s="10">
        <f t="shared" si="26"/>
        <v>206553.2</v>
      </c>
      <c r="D178" s="10">
        <f t="shared" si="21"/>
        <v>196225.54</v>
      </c>
      <c r="E178" s="10">
        <f t="shared" si="22"/>
        <v>295076.00000000006</v>
      </c>
      <c r="F178" s="10">
        <f t="shared" si="23"/>
        <v>10327.660000000002</v>
      </c>
      <c r="G178" s="9">
        <v>0.85</v>
      </c>
      <c r="H178" s="11">
        <f t="shared" si="27"/>
        <v>175570.22</v>
      </c>
      <c r="I178" s="12"/>
      <c r="J178" s="17"/>
      <c r="K178" s="26">
        <v>147538</v>
      </c>
    </row>
    <row r="179" spans="1:11" ht="28.5" x14ac:dyDescent="0.2">
      <c r="A179" s="14" t="s">
        <v>313</v>
      </c>
      <c r="B179" s="14" t="s">
        <v>314</v>
      </c>
      <c r="C179" s="10">
        <f t="shared" si="26"/>
        <v>260577.8</v>
      </c>
      <c r="D179" s="10">
        <f t="shared" si="21"/>
        <v>247548.90999999997</v>
      </c>
      <c r="E179" s="10">
        <f t="shared" si="22"/>
        <v>372254</v>
      </c>
      <c r="F179" s="10">
        <f t="shared" si="23"/>
        <v>13028.89</v>
      </c>
      <c r="G179" s="9">
        <v>0.85</v>
      </c>
      <c r="H179" s="11">
        <f t="shared" si="27"/>
        <v>221491.12999999998</v>
      </c>
      <c r="I179" s="12"/>
      <c r="J179" s="17"/>
      <c r="K179" s="26">
        <v>186127</v>
      </c>
    </row>
    <row r="180" spans="1:11" ht="28.5" x14ac:dyDescent="0.2">
      <c r="A180" s="14" t="s">
        <v>315</v>
      </c>
      <c r="B180" s="14" t="s">
        <v>316</v>
      </c>
      <c r="C180" s="10">
        <f t="shared" si="26"/>
        <v>324293.19999999995</v>
      </c>
      <c r="D180" s="10">
        <f t="shared" si="21"/>
        <v>308078.53999999998</v>
      </c>
      <c r="E180" s="10">
        <f t="shared" si="22"/>
        <v>463275.99999999994</v>
      </c>
      <c r="F180" s="10">
        <f t="shared" si="23"/>
        <v>16214.659999999998</v>
      </c>
      <c r="G180" s="9">
        <v>0.85</v>
      </c>
      <c r="H180" s="11">
        <f t="shared" si="27"/>
        <v>275649.21999999997</v>
      </c>
      <c r="I180" s="12"/>
      <c r="J180" s="17"/>
      <c r="K180" s="26">
        <v>231638</v>
      </c>
    </row>
    <row r="181" spans="1:11" ht="28.5" x14ac:dyDescent="0.2">
      <c r="A181" s="14" t="s">
        <v>317</v>
      </c>
      <c r="B181" s="14" t="s">
        <v>318</v>
      </c>
      <c r="C181" s="10">
        <f t="shared" si="26"/>
        <v>466782.39999999997</v>
      </c>
      <c r="D181" s="10">
        <f t="shared" si="21"/>
        <v>443443.27999999997</v>
      </c>
      <c r="E181" s="10">
        <f t="shared" si="22"/>
        <v>666832</v>
      </c>
      <c r="F181" s="10">
        <f t="shared" si="23"/>
        <v>23339.119999999999</v>
      </c>
      <c r="G181" s="9">
        <v>0.85</v>
      </c>
      <c r="H181" s="11">
        <f t="shared" si="27"/>
        <v>396765.04</v>
      </c>
      <c r="I181" s="12"/>
      <c r="J181" s="17"/>
      <c r="K181" s="26">
        <v>333416</v>
      </c>
    </row>
    <row r="182" spans="1:11" ht="28.5" x14ac:dyDescent="0.2">
      <c r="A182" s="14" t="s">
        <v>319</v>
      </c>
      <c r="B182" s="14" t="s">
        <v>320</v>
      </c>
      <c r="C182" s="10">
        <f t="shared" si="26"/>
        <v>530150.6</v>
      </c>
      <c r="D182" s="10">
        <f t="shared" si="21"/>
        <v>503643.06999999995</v>
      </c>
      <c r="E182" s="10">
        <f t="shared" si="22"/>
        <v>757358</v>
      </c>
      <c r="F182" s="10">
        <f t="shared" si="23"/>
        <v>26507.53</v>
      </c>
      <c r="G182" s="9">
        <v>0.85</v>
      </c>
      <c r="H182" s="11">
        <f t="shared" si="27"/>
        <v>450628.00999999995</v>
      </c>
      <c r="I182" s="12"/>
      <c r="J182" s="17"/>
      <c r="K182" s="26">
        <v>378679</v>
      </c>
    </row>
    <row r="183" spans="1:11" ht="28.5" x14ac:dyDescent="0.2">
      <c r="A183" s="14" t="s">
        <v>321</v>
      </c>
      <c r="B183" s="14" t="s">
        <v>322</v>
      </c>
      <c r="C183" s="10">
        <f t="shared" si="26"/>
        <v>608875.4</v>
      </c>
      <c r="D183" s="10">
        <f t="shared" si="21"/>
        <v>578431.63</v>
      </c>
      <c r="E183" s="10">
        <f t="shared" si="22"/>
        <v>869822.00000000012</v>
      </c>
      <c r="F183" s="10">
        <f t="shared" si="23"/>
        <v>30443.770000000004</v>
      </c>
      <c r="G183" s="9">
        <v>0.85</v>
      </c>
      <c r="H183" s="11">
        <f t="shared" si="27"/>
        <v>517544.08999999997</v>
      </c>
      <c r="I183" s="12"/>
      <c r="J183" s="17"/>
      <c r="K183" s="26">
        <v>434911</v>
      </c>
    </row>
    <row r="184" spans="1:11" ht="28.5" x14ac:dyDescent="0.2">
      <c r="A184" s="14" t="s">
        <v>323</v>
      </c>
      <c r="B184" s="14" t="s">
        <v>324</v>
      </c>
      <c r="C184" s="10">
        <f t="shared" si="26"/>
        <v>657183.80000000005</v>
      </c>
      <c r="D184" s="10">
        <f t="shared" si="21"/>
        <v>624324.6100000001</v>
      </c>
      <c r="E184" s="10">
        <f t="shared" si="22"/>
        <v>938834.00000000012</v>
      </c>
      <c r="F184" s="10">
        <f t="shared" si="23"/>
        <v>32859.19</v>
      </c>
      <c r="G184" s="9">
        <v>0.85</v>
      </c>
      <c r="H184" s="11">
        <f t="shared" si="27"/>
        <v>558606.23</v>
      </c>
      <c r="I184" s="12"/>
      <c r="J184" s="17"/>
      <c r="K184" s="26">
        <v>469417</v>
      </c>
    </row>
    <row r="185" spans="1:11" ht="28.5" x14ac:dyDescent="0.2">
      <c r="A185" s="14" t="s">
        <v>325</v>
      </c>
      <c r="B185" s="14" t="s">
        <v>326</v>
      </c>
      <c r="C185" s="10">
        <f t="shared" si="26"/>
        <v>702161.6</v>
      </c>
      <c r="D185" s="10">
        <f t="shared" si="21"/>
        <v>667053.52</v>
      </c>
      <c r="E185" s="10">
        <f t="shared" si="22"/>
        <v>1003088</v>
      </c>
      <c r="F185" s="10">
        <f t="shared" si="23"/>
        <v>35108.080000000002</v>
      </c>
      <c r="G185" s="9">
        <v>0.85</v>
      </c>
      <c r="H185" s="11">
        <f t="shared" si="27"/>
        <v>596837.36</v>
      </c>
      <c r="I185" s="12"/>
      <c r="J185" s="17"/>
      <c r="K185" s="26">
        <v>501544</v>
      </c>
    </row>
    <row r="186" spans="1:11" ht="28.5" x14ac:dyDescent="0.2">
      <c r="A186" s="14" t="s">
        <v>327</v>
      </c>
      <c r="B186" s="14" t="s">
        <v>328</v>
      </c>
      <c r="C186" s="10">
        <f t="shared" si="26"/>
        <v>887244.4</v>
      </c>
      <c r="D186" s="10">
        <f t="shared" si="21"/>
        <v>842882.18</v>
      </c>
      <c r="E186" s="10">
        <f t="shared" si="22"/>
        <v>1267492</v>
      </c>
      <c r="F186" s="10">
        <f t="shared" si="23"/>
        <v>44362.22</v>
      </c>
      <c r="G186" s="9">
        <v>0.85</v>
      </c>
      <c r="H186" s="11">
        <f t="shared" si="27"/>
        <v>754157.74</v>
      </c>
      <c r="I186" s="12"/>
      <c r="J186" s="17"/>
      <c r="K186" s="26">
        <v>633746</v>
      </c>
    </row>
    <row r="187" spans="1:11" ht="28.5" x14ac:dyDescent="0.2">
      <c r="A187" s="14" t="s">
        <v>329</v>
      </c>
      <c r="B187" s="14" t="s">
        <v>330</v>
      </c>
      <c r="C187" s="10">
        <f t="shared" si="26"/>
        <v>1093251.6000000001</v>
      </c>
      <c r="D187" s="10">
        <f t="shared" si="21"/>
        <v>1038589.0200000001</v>
      </c>
      <c r="E187" s="10">
        <f t="shared" si="22"/>
        <v>1561788.0000000002</v>
      </c>
      <c r="F187" s="10">
        <f t="shared" si="23"/>
        <v>54662.580000000009</v>
      </c>
      <c r="G187" s="9">
        <v>0.85</v>
      </c>
      <c r="H187" s="11">
        <f t="shared" si="27"/>
        <v>929263.86</v>
      </c>
      <c r="I187" s="12"/>
      <c r="J187" s="17"/>
      <c r="K187" s="26">
        <v>780894</v>
      </c>
    </row>
    <row r="188" spans="1:11" ht="28.5" x14ac:dyDescent="0.2">
      <c r="A188" s="14" t="s">
        <v>331</v>
      </c>
      <c r="B188" s="14" t="s">
        <v>332</v>
      </c>
      <c r="C188" s="10">
        <f t="shared" si="26"/>
        <v>1423109.7999999998</v>
      </c>
      <c r="D188" s="10">
        <f t="shared" si="21"/>
        <v>1351954.3099999998</v>
      </c>
      <c r="E188" s="10">
        <f t="shared" si="22"/>
        <v>2033013.9999999998</v>
      </c>
      <c r="F188" s="10">
        <f t="shared" si="23"/>
        <v>71155.489999999991</v>
      </c>
      <c r="G188" s="9">
        <v>0.85</v>
      </c>
      <c r="H188" s="11">
        <f t="shared" si="27"/>
        <v>1209643.3299999998</v>
      </c>
      <c r="I188" s="12"/>
      <c r="J188" s="17"/>
      <c r="K188" s="26">
        <v>1016507</v>
      </c>
    </row>
    <row r="189" spans="1:11" ht="15" x14ac:dyDescent="0.2">
      <c r="A189" s="31" t="s">
        <v>333</v>
      </c>
      <c r="B189" s="31"/>
      <c r="C189" s="31"/>
      <c r="D189" s="31"/>
      <c r="E189" s="31"/>
      <c r="F189" s="31"/>
      <c r="G189" s="9"/>
      <c r="H189" s="11"/>
      <c r="I189" s="12"/>
      <c r="J189" s="17"/>
      <c r="K189" s="16"/>
    </row>
    <row r="190" spans="1:11" ht="28.5" x14ac:dyDescent="0.2">
      <c r="A190" s="14" t="s">
        <v>334</v>
      </c>
      <c r="B190" s="14" t="s">
        <v>335</v>
      </c>
      <c r="C190" s="10">
        <f>+H190/G190</f>
        <v>891270.79999999993</v>
      </c>
      <c r="D190" s="10">
        <f t="shared" si="21"/>
        <v>846707.25999999989</v>
      </c>
      <c r="E190" s="10">
        <f t="shared" si="22"/>
        <v>1273244</v>
      </c>
      <c r="F190" s="10">
        <f t="shared" si="23"/>
        <v>44563.54</v>
      </c>
      <c r="G190" s="9">
        <v>0.85</v>
      </c>
      <c r="H190" s="11">
        <f t="shared" si="27"/>
        <v>757580.17999999993</v>
      </c>
      <c r="I190" s="12"/>
      <c r="J190" s="17"/>
      <c r="K190" s="26">
        <v>636622</v>
      </c>
    </row>
    <row r="191" spans="1:11" ht="28.5" x14ac:dyDescent="0.2">
      <c r="A191" s="14" t="s">
        <v>336</v>
      </c>
      <c r="B191" s="14" t="s">
        <v>337</v>
      </c>
      <c r="C191" s="10">
        <f>+H191/G191</f>
        <v>1421519.4000000001</v>
      </c>
      <c r="D191" s="10">
        <f t="shared" si="21"/>
        <v>1350443.4300000002</v>
      </c>
      <c r="E191" s="10">
        <f t="shared" si="22"/>
        <v>2030742.0000000002</v>
      </c>
      <c r="F191" s="10">
        <f t="shared" si="23"/>
        <v>71075.970000000016</v>
      </c>
      <c r="G191" s="9">
        <v>0.85</v>
      </c>
      <c r="H191" s="11">
        <f t="shared" si="27"/>
        <v>1208291.49</v>
      </c>
      <c r="I191" s="12"/>
      <c r="J191" s="17"/>
      <c r="K191" s="26">
        <v>1015371</v>
      </c>
    </row>
    <row r="192" spans="1:11" ht="28.5" x14ac:dyDescent="0.2">
      <c r="A192" s="14" t="s">
        <v>338</v>
      </c>
      <c r="B192" s="14" t="s">
        <v>339</v>
      </c>
      <c r="C192" s="10">
        <f>+H192/G192</f>
        <v>1773196.5999999999</v>
      </c>
      <c r="D192" s="10">
        <f t="shared" si="21"/>
        <v>1684536.7699999998</v>
      </c>
      <c r="E192" s="10">
        <f t="shared" si="22"/>
        <v>2533138</v>
      </c>
      <c r="F192" s="10">
        <f t="shared" si="23"/>
        <v>88659.83</v>
      </c>
      <c r="G192" s="9">
        <v>0.85</v>
      </c>
      <c r="H192" s="11">
        <f t="shared" si="27"/>
        <v>1507217.1099999999</v>
      </c>
      <c r="I192" s="12"/>
      <c r="J192" s="17"/>
      <c r="K192" s="26">
        <v>1266569</v>
      </c>
    </row>
    <row r="193" spans="1:11" ht="28.5" x14ac:dyDescent="0.2">
      <c r="A193" s="14" t="s">
        <v>340</v>
      </c>
      <c r="B193" s="14" t="s">
        <v>341</v>
      </c>
      <c r="C193" s="10">
        <f>+H193/G193</f>
        <v>2066178.8</v>
      </c>
      <c r="D193" s="10">
        <f t="shared" si="21"/>
        <v>1962869.86</v>
      </c>
      <c r="E193" s="10">
        <f t="shared" si="22"/>
        <v>2951684.0000000005</v>
      </c>
      <c r="F193" s="10">
        <f t="shared" si="23"/>
        <v>103308.94</v>
      </c>
      <c r="G193" s="9">
        <v>0.85</v>
      </c>
      <c r="H193" s="11">
        <f t="shared" si="27"/>
        <v>1756251.98</v>
      </c>
      <c r="I193" s="12"/>
      <c r="J193" s="17"/>
      <c r="K193" s="26">
        <v>1475842</v>
      </c>
    </row>
    <row r="194" spans="1:11" ht="15" x14ac:dyDescent="0.2">
      <c r="A194" s="31" t="s">
        <v>342</v>
      </c>
      <c r="B194" s="31"/>
      <c r="C194" s="31"/>
      <c r="D194" s="31"/>
      <c r="E194" s="31"/>
      <c r="F194" s="31"/>
      <c r="G194" s="9"/>
      <c r="H194" s="11"/>
      <c r="I194" s="12"/>
      <c r="J194" s="17"/>
      <c r="K194" s="16"/>
    </row>
    <row r="195" spans="1:11" ht="28.5" x14ac:dyDescent="0.2">
      <c r="A195" s="14" t="s">
        <v>343</v>
      </c>
      <c r="B195" s="14" t="s">
        <v>344</v>
      </c>
      <c r="C195" s="10">
        <f>+H195/G195</f>
        <v>774575.2</v>
      </c>
      <c r="D195" s="10">
        <f t="shared" si="21"/>
        <v>735846.44</v>
      </c>
      <c r="E195" s="10">
        <f t="shared" si="22"/>
        <v>1106536</v>
      </c>
      <c r="F195" s="10">
        <f t="shared" si="23"/>
        <v>38728.76</v>
      </c>
      <c r="G195" s="9">
        <v>0.85</v>
      </c>
      <c r="H195" s="11">
        <f t="shared" si="27"/>
        <v>658388.91999999993</v>
      </c>
      <c r="I195" s="12"/>
      <c r="J195" s="17"/>
      <c r="K195" s="26">
        <v>553268</v>
      </c>
    </row>
    <row r="196" spans="1:11" ht="28.5" x14ac:dyDescent="0.2">
      <c r="A196" s="14" t="s">
        <v>345</v>
      </c>
      <c r="B196" s="14" t="s">
        <v>346</v>
      </c>
      <c r="C196" s="10">
        <f>+H196/G196</f>
        <v>1201348.3999999999</v>
      </c>
      <c r="D196" s="10">
        <f t="shared" si="21"/>
        <v>1141280.98</v>
      </c>
      <c r="E196" s="10">
        <f t="shared" si="22"/>
        <v>1716212</v>
      </c>
      <c r="F196" s="10">
        <f t="shared" si="23"/>
        <v>60067.42</v>
      </c>
      <c r="G196" s="9">
        <v>0.85</v>
      </c>
      <c r="H196" s="11">
        <f t="shared" si="27"/>
        <v>1021146.1399999999</v>
      </c>
      <c r="I196" s="12"/>
      <c r="J196" s="17"/>
      <c r="K196" s="26">
        <v>858106</v>
      </c>
    </row>
    <row r="197" spans="1:11" ht="28.5" x14ac:dyDescent="0.2">
      <c r="A197" s="14" t="s">
        <v>347</v>
      </c>
      <c r="B197" s="14" t="s">
        <v>348</v>
      </c>
      <c r="C197" s="10">
        <f>+H197/G197</f>
        <v>1557648.4</v>
      </c>
      <c r="D197" s="10">
        <f t="shared" ref="D197:D260" si="28">+C197-F197</f>
        <v>1479765.98</v>
      </c>
      <c r="E197" s="10">
        <f t="shared" ref="E197:E260" si="29">+C197/0.7</f>
        <v>2225212</v>
      </c>
      <c r="F197" s="10">
        <f t="shared" ref="F197:F260" si="30">+C197*5%</f>
        <v>77882.42</v>
      </c>
      <c r="G197" s="9">
        <v>0.85</v>
      </c>
      <c r="H197" s="11">
        <f t="shared" si="27"/>
        <v>1324001.1399999999</v>
      </c>
      <c r="I197" s="12"/>
      <c r="J197" s="17"/>
      <c r="K197" s="26">
        <v>1112606</v>
      </c>
    </row>
    <row r="198" spans="1:11" ht="28.5" x14ac:dyDescent="0.2">
      <c r="A198" s="14" t="s">
        <v>349</v>
      </c>
      <c r="B198" s="14" t="s">
        <v>350</v>
      </c>
      <c r="C198" s="10">
        <f>+H198/G198</f>
        <v>1950576.5999999999</v>
      </c>
      <c r="D198" s="10">
        <f t="shared" si="28"/>
        <v>1853047.7699999998</v>
      </c>
      <c r="E198" s="10">
        <f t="shared" si="29"/>
        <v>2786538</v>
      </c>
      <c r="F198" s="10">
        <f t="shared" si="30"/>
        <v>97528.83</v>
      </c>
      <c r="G198" s="9">
        <v>0.85</v>
      </c>
      <c r="H198" s="11">
        <f t="shared" si="27"/>
        <v>1657990.1099999999</v>
      </c>
      <c r="I198" s="12"/>
      <c r="J198" s="17"/>
      <c r="K198" s="26">
        <v>1393269</v>
      </c>
    </row>
    <row r="199" spans="1:11" ht="15" x14ac:dyDescent="0.2">
      <c r="A199" s="31" t="s">
        <v>351</v>
      </c>
      <c r="B199" s="31"/>
      <c r="C199" s="31"/>
      <c r="D199" s="31"/>
      <c r="E199" s="31"/>
      <c r="F199" s="31"/>
      <c r="G199" s="9"/>
      <c r="H199" s="11"/>
      <c r="I199" s="12"/>
      <c r="J199" s="17"/>
      <c r="K199" s="16"/>
    </row>
    <row r="200" spans="1:11" ht="28.5" x14ac:dyDescent="0.2">
      <c r="A200" s="14" t="s">
        <v>352</v>
      </c>
      <c r="B200" s="14" t="s">
        <v>353</v>
      </c>
      <c r="C200" s="10">
        <f>+H200/G200</f>
        <v>4526576.5999999996</v>
      </c>
      <c r="D200" s="10">
        <f t="shared" si="28"/>
        <v>4300247.7699999996</v>
      </c>
      <c r="E200" s="10">
        <f t="shared" si="29"/>
        <v>6466538</v>
      </c>
      <c r="F200" s="10">
        <f t="shared" si="30"/>
        <v>226328.83</v>
      </c>
      <c r="G200" s="9">
        <v>0.85</v>
      </c>
      <c r="H200" s="11">
        <f t="shared" si="27"/>
        <v>3847590.11</v>
      </c>
      <c r="I200" s="12"/>
      <c r="J200" s="17"/>
      <c r="K200" s="26">
        <v>3233269</v>
      </c>
    </row>
    <row r="201" spans="1:11" ht="28.5" x14ac:dyDescent="0.2">
      <c r="A201" s="14" t="s">
        <v>354</v>
      </c>
      <c r="B201" s="14" t="s">
        <v>355</v>
      </c>
      <c r="C201" s="10">
        <f>+H201/G201</f>
        <v>8466096.7999999989</v>
      </c>
      <c r="D201" s="10">
        <f t="shared" si="28"/>
        <v>8042791.959999999</v>
      </c>
      <c r="E201" s="10">
        <f t="shared" si="29"/>
        <v>12094424</v>
      </c>
      <c r="F201" s="10">
        <f t="shared" si="30"/>
        <v>423304.83999999997</v>
      </c>
      <c r="G201" s="9">
        <v>0.85</v>
      </c>
      <c r="H201" s="11">
        <f t="shared" si="27"/>
        <v>7196182.2799999993</v>
      </c>
      <c r="I201" s="12"/>
      <c r="J201" s="17"/>
      <c r="K201" s="26">
        <v>6047212</v>
      </c>
    </row>
    <row r="202" spans="1:11" ht="15" x14ac:dyDescent="0.2">
      <c r="A202" s="31" t="s">
        <v>356</v>
      </c>
      <c r="B202" s="31"/>
      <c r="C202" s="31"/>
      <c r="D202" s="31"/>
      <c r="E202" s="31"/>
      <c r="F202" s="31"/>
      <c r="G202" s="9"/>
      <c r="H202" s="11"/>
      <c r="I202" s="12"/>
      <c r="J202" s="17"/>
      <c r="K202" s="16"/>
    </row>
    <row r="203" spans="1:11" ht="28.5" x14ac:dyDescent="0.2">
      <c r="A203" s="14" t="s">
        <v>357</v>
      </c>
      <c r="B203" s="14" t="s">
        <v>358</v>
      </c>
      <c r="C203" s="10">
        <f t="shared" ref="C203:C217" si="31">+H203/G203</f>
        <v>1945655.6</v>
      </c>
      <c r="D203" s="10">
        <f t="shared" si="28"/>
        <v>1848372.82</v>
      </c>
      <c r="E203" s="10">
        <f t="shared" si="29"/>
        <v>2779508.0000000005</v>
      </c>
      <c r="F203" s="10">
        <f t="shared" si="30"/>
        <v>97282.780000000013</v>
      </c>
      <c r="G203" s="9">
        <v>0.85</v>
      </c>
      <c r="H203" s="11">
        <f t="shared" si="27"/>
        <v>1653807.26</v>
      </c>
      <c r="I203" s="12"/>
      <c r="J203" s="17"/>
      <c r="K203" s="26">
        <v>1389754</v>
      </c>
    </row>
    <row r="204" spans="1:11" ht="28.5" x14ac:dyDescent="0.2">
      <c r="A204" s="14" t="s">
        <v>359</v>
      </c>
      <c r="B204" s="14" t="s">
        <v>360</v>
      </c>
      <c r="C204" s="10">
        <f t="shared" si="31"/>
        <v>1675188.2</v>
      </c>
      <c r="D204" s="10">
        <f t="shared" si="28"/>
        <v>1591428.79</v>
      </c>
      <c r="E204" s="10">
        <f t="shared" si="29"/>
        <v>2393126</v>
      </c>
      <c r="F204" s="10">
        <f t="shared" si="30"/>
        <v>83759.41</v>
      </c>
      <c r="G204" s="9">
        <v>0.85</v>
      </c>
      <c r="H204" s="11">
        <f t="shared" si="27"/>
        <v>1423909.97</v>
      </c>
      <c r="I204" s="12"/>
      <c r="J204" s="17"/>
      <c r="K204" s="26">
        <v>1196563</v>
      </c>
    </row>
    <row r="205" spans="1:11" ht="28.5" x14ac:dyDescent="0.2">
      <c r="A205" s="14" t="s">
        <v>361</v>
      </c>
      <c r="B205" s="14" t="s">
        <v>362</v>
      </c>
      <c r="C205" s="10">
        <f t="shared" si="31"/>
        <v>1653967</v>
      </c>
      <c r="D205" s="10">
        <f t="shared" si="28"/>
        <v>1571268.65</v>
      </c>
      <c r="E205" s="10">
        <f t="shared" si="29"/>
        <v>2362810</v>
      </c>
      <c r="F205" s="10">
        <f t="shared" si="30"/>
        <v>82698.350000000006</v>
      </c>
      <c r="G205" s="9">
        <v>0.85</v>
      </c>
      <c r="H205" s="11">
        <f t="shared" si="27"/>
        <v>1405871.95</v>
      </c>
      <c r="I205" s="12"/>
      <c r="J205" s="17"/>
      <c r="K205" s="26">
        <v>1181405</v>
      </c>
    </row>
    <row r="206" spans="1:11" ht="28.5" x14ac:dyDescent="0.2">
      <c r="A206" s="14" t="s">
        <v>363</v>
      </c>
      <c r="B206" s="14" t="s">
        <v>364</v>
      </c>
      <c r="C206" s="10">
        <f t="shared" si="31"/>
        <v>1337775.6000000001</v>
      </c>
      <c r="D206" s="10">
        <f t="shared" si="28"/>
        <v>1270886.82</v>
      </c>
      <c r="E206" s="10">
        <f t="shared" si="29"/>
        <v>1911108.0000000002</v>
      </c>
      <c r="F206" s="10">
        <f t="shared" si="30"/>
        <v>66888.780000000013</v>
      </c>
      <c r="G206" s="9">
        <v>0.85</v>
      </c>
      <c r="H206" s="11">
        <f t="shared" si="27"/>
        <v>1137109.26</v>
      </c>
      <c r="I206" s="12"/>
      <c r="J206" s="17"/>
      <c r="K206" s="26">
        <v>955554</v>
      </c>
    </row>
    <row r="207" spans="1:11" ht="28.5" x14ac:dyDescent="0.2">
      <c r="A207" s="14" t="s">
        <v>365</v>
      </c>
      <c r="B207" s="14" t="s">
        <v>366</v>
      </c>
      <c r="C207" s="10">
        <f t="shared" si="31"/>
        <v>1069842.2</v>
      </c>
      <c r="D207" s="10">
        <f t="shared" si="28"/>
        <v>1016350.09</v>
      </c>
      <c r="E207" s="10">
        <f t="shared" si="29"/>
        <v>1528346</v>
      </c>
      <c r="F207" s="10">
        <f t="shared" si="30"/>
        <v>53492.11</v>
      </c>
      <c r="G207" s="9">
        <v>0.85</v>
      </c>
      <c r="H207" s="11">
        <f t="shared" si="27"/>
        <v>909365.87</v>
      </c>
      <c r="I207" s="12"/>
      <c r="J207" s="17"/>
      <c r="K207" s="26">
        <v>764173</v>
      </c>
    </row>
    <row r="208" spans="1:11" ht="28.5" x14ac:dyDescent="0.2">
      <c r="A208" s="14" t="s">
        <v>367</v>
      </c>
      <c r="B208" s="14" t="s">
        <v>368</v>
      </c>
      <c r="C208" s="10">
        <f t="shared" si="31"/>
        <v>940573.2</v>
      </c>
      <c r="D208" s="10">
        <f t="shared" si="28"/>
        <v>893544.53999999992</v>
      </c>
      <c r="E208" s="10">
        <f t="shared" si="29"/>
        <v>1343676</v>
      </c>
      <c r="F208" s="10">
        <f t="shared" si="30"/>
        <v>47028.66</v>
      </c>
      <c r="G208" s="9">
        <v>0.85</v>
      </c>
      <c r="H208" s="11">
        <f t="shared" si="27"/>
        <v>799487.22</v>
      </c>
      <c r="I208" s="12"/>
      <c r="J208" s="17"/>
      <c r="K208" s="26">
        <v>671838</v>
      </c>
    </row>
    <row r="209" spans="1:11" ht="28.5" x14ac:dyDescent="0.2">
      <c r="A209" s="14" t="s">
        <v>369</v>
      </c>
      <c r="B209" s="14" t="s">
        <v>370</v>
      </c>
      <c r="C209" s="10">
        <f t="shared" si="31"/>
        <v>2179146.2000000002</v>
      </c>
      <c r="D209" s="10">
        <f t="shared" si="28"/>
        <v>2070188.8900000001</v>
      </c>
      <c r="E209" s="10">
        <f t="shared" si="29"/>
        <v>3113066.0000000005</v>
      </c>
      <c r="F209" s="10">
        <f t="shared" si="30"/>
        <v>108957.31000000001</v>
      </c>
      <c r="G209" s="9">
        <v>0.85</v>
      </c>
      <c r="H209" s="11">
        <f t="shared" si="27"/>
        <v>1852274.27</v>
      </c>
      <c r="I209" s="12"/>
      <c r="J209" s="9"/>
      <c r="K209" s="26">
        <v>1556533</v>
      </c>
    </row>
    <row r="210" spans="1:11" ht="28.5" x14ac:dyDescent="0.2">
      <c r="A210" s="14" t="s">
        <v>371</v>
      </c>
      <c r="B210" s="14" t="s">
        <v>372</v>
      </c>
      <c r="C210" s="10">
        <f t="shared" si="31"/>
        <v>1974680.4</v>
      </c>
      <c r="D210" s="10">
        <f t="shared" si="28"/>
        <v>1875946.38</v>
      </c>
      <c r="E210" s="10">
        <f t="shared" si="29"/>
        <v>2820972</v>
      </c>
      <c r="F210" s="10">
        <f t="shared" si="30"/>
        <v>98734.02</v>
      </c>
      <c r="G210" s="9">
        <v>0.85</v>
      </c>
      <c r="H210" s="11">
        <f t="shared" si="27"/>
        <v>1678478.3399999999</v>
      </c>
      <c r="I210" s="12"/>
      <c r="J210" s="9"/>
      <c r="K210" s="26">
        <v>1410486</v>
      </c>
    </row>
    <row r="211" spans="1:11" ht="28.5" x14ac:dyDescent="0.2">
      <c r="A211" s="14" t="s">
        <v>373</v>
      </c>
      <c r="B211" s="14" t="s">
        <v>374</v>
      </c>
      <c r="C211" s="10">
        <f t="shared" si="31"/>
        <v>1736767.2</v>
      </c>
      <c r="D211" s="10">
        <f t="shared" si="28"/>
        <v>1649928.8399999999</v>
      </c>
      <c r="E211" s="10">
        <f t="shared" si="29"/>
        <v>2481096</v>
      </c>
      <c r="F211" s="10">
        <f t="shared" si="30"/>
        <v>86838.36</v>
      </c>
      <c r="G211" s="9">
        <v>0.85</v>
      </c>
      <c r="H211" s="11">
        <f t="shared" si="27"/>
        <v>1476252.1199999999</v>
      </c>
      <c r="I211" s="12"/>
      <c r="J211" s="9"/>
      <c r="K211" s="26">
        <v>1240548</v>
      </c>
    </row>
    <row r="212" spans="1:11" ht="28.5" x14ac:dyDescent="0.2">
      <c r="A212" s="14" t="s">
        <v>375</v>
      </c>
      <c r="B212" s="14" t="s">
        <v>376</v>
      </c>
      <c r="C212" s="10">
        <f t="shared" si="31"/>
        <v>3163256.6</v>
      </c>
      <c r="D212" s="10">
        <f t="shared" si="28"/>
        <v>3005093.77</v>
      </c>
      <c r="E212" s="10">
        <f t="shared" si="29"/>
        <v>4518938</v>
      </c>
      <c r="F212" s="10">
        <f t="shared" si="30"/>
        <v>158162.83000000002</v>
      </c>
      <c r="G212" s="9">
        <v>0.85</v>
      </c>
      <c r="H212" s="11">
        <f t="shared" si="27"/>
        <v>2688768.11</v>
      </c>
      <c r="I212" s="12"/>
      <c r="J212" s="9"/>
      <c r="K212" s="26">
        <v>2259469</v>
      </c>
    </row>
    <row r="213" spans="1:11" ht="28.5" x14ac:dyDescent="0.2">
      <c r="A213" s="14" t="s">
        <v>377</v>
      </c>
      <c r="B213" s="14" t="s">
        <v>378</v>
      </c>
      <c r="C213" s="10">
        <f t="shared" si="31"/>
        <v>2846866.4</v>
      </c>
      <c r="D213" s="10">
        <f t="shared" si="28"/>
        <v>2704523.08</v>
      </c>
      <c r="E213" s="10">
        <f t="shared" si="29"/>
        <v>4066952</v>
      </c>
      <c r="F213" s="10">
        <f t="shared" si="30"/>
        <v>142343.32</v>
      </c>
      <c r="G213" s="9">
        <v>0.85</v>
      </c>
      <c r="H213" s="11">
        <f t="shared" si="27"/>
        <v>2419836.44</v>
      </c>
      <c r="I213" s="12"/>
      <c r="J213" s="9"/>
      <c r="K213" s="26">
        <v>2033476</v>
      </c>
    </row>
    <row r="214" spans="1:11" ht="28.5" x14ac:dyDescent="0.2">
      <c r="A214" s="14" t="s">
        <v>379</v>
      </c>
      <c r="B214" s="14" t="s">
        <v>380</v>
      </c>
      <c r="C214" s="10">
        <f t="shared" si="31"/>
        <v>466782.39999999997</v>
      </c>
      <c r="D214" s="10">
        <f t="shared" si="28"/>
        <v>443443.27999999997</v>
      </c>
      <c r="E214" s="10">
        <f t="shared" si="29"/>
        <v>666832</v>
      </c>
      <c r="F214" s="10">
        <f t="shared" si="30"/>
        <v>23339.119999999999</v>
      </c>
      <c r="G214" s="9">
        <v>0.85</v>
      </c>
      <c r="H214" s="11">
        <f t="shared" si="27"/>
        <v>396765.04</v>
      </c>
      <c r="I214" s="12"/>
      <c r="J214" s="9"/>
      <c r="K214" s="26">
        <v>333416</v>
      </c>
    </row>
    <row r="215" spans="1:11" ht="28.5" x14ac:dyDescent="0.2">
      <c r="A215" s="14" t="s">
        <v>381</v>
      </c>
      <c r="B215" s="14" t="s">
        <v>382</v>
      </c>
      <c r="C215" s="10">
        <f t="shared" si="31"/>
        <v>408286.19999999995</v>
      </c>
      <c r="D215" s="10">
        <f t="shared" si="28"/>
        <v>387871.88999999996</v>
      </c>
      <c r="E215" s="10">
        <f t="shared" si="29"/>
        <v>583266</v>
      </c>
      <c r="F215" s="10">
        <f t="shared" si="30"/>
        <v>20414.309999999998</v>
      </c>
      <c r="G215" s="9">
        <v>0.85</v>
      </c>
      <c r="H215" s="11">
        <f t="shared" si="27"/>
        <v>347043.26999999996</v>
      </c>
      <c r="I215" s="12"/>
      <c r="J215" s="9"/>
      <c r="K215" s="26">
        <v>291633</v>
      </c>
    </row>
    <row r="216" spans="1:11" ht="28.5" x14ac:dyDescent="0.2">
      <c r="A216" s="14" t="s">
        <v>383</v>
      </c>
      <c r="B216" s="14" t="s">
        <v>384</v>
      </c>
      <c r="C216" s="10">
        <f t="shared" si="31"/>
        <v>379509.2</v>
      </c>
      <c r="D216" s="10">
        <f t="shared" si="28"/>
        <v>360533.74</v>
      </c>
      <c r="E216" s="10">
        <f t="shared" si="29"/>
        <v>542156</v>
      </c>
      <c r="F216" s="10">
        <f t="shared" si="30"/>
        <v>18975.460000000003</v>
      </c>
      <c r="G216" s="9">
        <v>0.85</v>
      </c>
      <c r="H216" s="11">
        <f t="shared" si="27"/>
        <v>322582.82</v>
      </c>
      <c r="I216" s="12"/>
      <c r="J216" s="9"/>
      <c r="K216" s="26">
        <v>271078</v>
      </c>
    </row>
    <row r="217" spans="1:11" ht="28.5" x14ac:dyDescent="0.2">
      <c r="A217" s="14" t="s">
        <v>385</v>
      </c>
      <c r="B217" s="14" t="s">
        <v>386</v>
      </c>
      <c r="C217" s="10">
        <f t="shared" si="31"/>
        <v>286669.60000000003</v>
      </c>
      <c r="D217" s="10">
        <f t="shared" si="28"/>
        <v>272336.12000000005</v>
      </c>
      <c r="E217" s="10">
        <f t="shared" si="29"/>
        <v>409528.00000000006</v>
      </c>
      <c r="F217" s="10">
        <f t="shared" si="30"/>
        <v>14333.480000000003</v>
      </c>
      <c r="G217" s="9">
        <v>0.85</v>
      </c>
      <c r="H217" s="11">
        <f t="shared" si="27"/>
        <v>243669.16</v>
      </c>
      <c r="I217" s="12"/>
      <c r="J217" s="9"/>
      <c r="K217" s="26">
        <v>204764</v>
      </c>
    </row>
    <row r="218" spans="1:11" ht="15" x14ac:dyDescent="0.2">
      <c r="A218" s="31" t="s">
        <v>387</v>
      </c>
      <c r="B218" s="31"/>
      <c r="C218" s="31"/>
      <c r="D218" s="31"/>
      <c r="E218" s="31"/>
      <c r="F218" s="31"/>
      <c r="G218" s="9">
        <v>0.85</v>
      </c>
      <c r="H218" s="11">
        <f t="shared" si="27"/>
        <v>0</v>
      </c>
      <c r="I218" s="12"/>
      <c r="J218" s="9"/>
      <c r="K218" s="16"/>
    </row>
    <row r="219" spans="1:11" ht="28.5" x14ac:dyDescent="0.2">
      <c r="A219" s="14" t="s">
        <v>388</v>
      </c>
      <c r="B219" s="14" t="s">
        <v>389</v>
      </c>
      <c r="C219" s="10">
        <f t="shared" ref="C219:C240" si="32">+H219/G219</f>
        <v>199546.19999999998</v>
      </c>
      <c r="D219" s="10">
        <f t="shared" si="28"/>
        <v>189568.88999999998</v>
      </c>
      <c r="E219" s="10">
        <f t="shared" si="29"/>
        <v>285066</v>
      </c>
      <c r="F219" s="10">
        <f t="shared" si="30"/>
        <v>9977.31</v>
      </c>
      <c r="G219" s="9">
        <v>0.85</v>
      </c>
      <c r="H219" s="11">
        <f t="shared" si="27"/>
        <v>169614.27</v>
      </c>
      <c r="I219" s="12"/>
      <c r="J219" s="9"/>
      <c r="K219" s="26">
        <v>142533</v>
      </c>
    </row>
    <row r="220" spans="1:11" ht="28.5" x14ac:dyDescent="0.2">
      <c r="A220" s="14" t="s">
        <v>390</v>
      </c>
      <c r="B220" s="14" t="s">
        <v>391</v>
      </c>
      <c r="C220" s="10">
        <f t="shared" si="32"/>
        <v>56856.800000000003</v>
      </c>
      <c r="D220" s="10">
        <f t="shared" si="28"/>
        <v>54013.960000000006</v>
      </c>
      <c r="E220" s="10">
        <f t="shared" si="29"/>
        <v>81224.000000000015</v>
      </c>
      <c r="F220" s="10">
        <f t="shared" si="30"/>
        <v>2842.84</v>
      </c>
      <c r="G220" s="9">
        <v>0.85</v>
      </c>
      <c r="H220" s="11">
        <f t="shared" si="27"/>
        <v>48328.28</v>
      </c>
      <c r="I220" s="12"/>
      <c r="J220" s="9"/>
      <c r="K220" s="26">
        <v>40612</v>
      </c>
    </row>
    <row r="221" spans="1:11" ht="28.5" x14ac:dyDescent="0.2">
      <c r="A221" s="14" t="s">
        <v>392</v>
      </c>
      <c r="B221" s="14" t="s">
        <v>393</v>
      </c>
      <c r="C221" s="10">
        <f t="shared" si="32"/>
        <v>61082</v>
      </c>
      <c r="D221" s="10">
        <f t="shared" si="28"/>
        <v>58027.9</v>
      </c>
      <c r="E221" s="10">
        <f t="shared" si="29"/>
        <v>87260</v>
      </c>
      <c r="F221" s="10">
        <f t="shared" si="30"/>
        <v>3054.1000000000004</v>
      </c>
      <c r="G221" s="9">
        <v>0.85</v>
      </c>
      <c r="H221" s="11">
        <f t="shared" si="27"/>
        <v>51919.7</v>
      </c>
      <c r="I221" s="12"/>
      <c r="J221" s="9"/>
      <c r="K221" s="26">
        <v>43630</v>
      </c>
    </row>
    <row r="222" spans="1:11" ht="28.5" x14ac:dyDescent="0.2">
      <c r="A222" s="14" t="s">
        <v>394</v>
      </c>
      <c r="B222" s="14" t="s">
        <v>395</v>
      </c>
      <c r="C222" s="10">
        <f t="shared" si="32"/>
        <v>86676.800000000003</v>
      </c>
      <c r="D222" s="10">
        <f t="shared" si="28"/>
        <v>82342.960000000006</v>
      </c>
      <c r="E222" s="10">
        <f t="shared" si="29"/>
        <v>123824.00000000001</v>
      </c>
      <c r="F222" s="10">
        <f t="shared" si="30"/>
        <v>4333.84</v>
      </c>
      <c r="G222" s="9">
        <v>0.85</v>
      </c>
      <c r="H222" s="11">
        <f t="shared" si="27"/>
        <v>73675.28</v>
      </c>
      <c r="I222" s="12"/>
      <c r="J222" s="9"/>
      <c r="K222" s="26">
        <v>61912</v>
      </c>
    </row>
    <row r="223" spans="1:11" ht="28.5" x14ac:dyDescent="0.2">
      <c r="A223" s="14" t="s">
        <v>396</v>
      </c>
      <c r="B223" s="14" t="s">
        <v>397</v>
      </c>
      <c r="C223" s="10">
        <f t="shared" si="32"/>
        <v>110483.8</v>
      </c>
      <c r="D223" s="10">
        <f t="shared" si="28"/>
        <v>104959.61</v>
      </c>
      <c r="E223" s="10">
        <f t="shared" si="29"/>
        <v>157834</v>
      </c>
      <c r="F223" s="10">
        <f t="shared" si="30"/>
        <v>5524.1900000000005</v>
      </c>
      <c r="G223" s="9">
        <v>0.85</v>
      </c>
      <c r="H223" s="11">
        <f t="shared" si="27"/>
        <v>93911.23</v>
      </c>
      <c r="I223" s="12"/>
      <c r="J223" s="9"/>
      <c r="K223" s="26">
        <v>78917</v>
      </c>
    </row>
    <row r="224" spans="1:11" ht="28.5" x14ac:dyDescent="0.2">
      <c r="A224" s="14" t="s">
        <v>398</v>
      </c>
      <c r="B224" s="14" t="s">
        <v>399</v>
      </c>
      <c r="C224" s="10">
        <f t="shared" si="32"/>
        <v>128921.8</v>
      </c>
      <c r="D224" s="10">
        <f t="shared" si="28"/>
        <v>122475.71</v>
      </c>
      <c r="E224" s="10">
        <f t="shared" si="29"/>
        <v>184174.00000000003</v>
      </c>
      <c r="F224" s="10">
        <f t="shared" si="30"/>
        <v>6446.09</v>
      </c>
      <c r="G224" s="9">
        <v>0.85</v>
      </c>
      <c r="H224" s="11">
        <f t="shared" si="27"/>
        <v>109583.53</v>
      </c>
      <c r="I224" s="12"/>
      <c r="J224" s="9"/>
      <c r="K224" s="26">
        <v>92087</v>
      </c>
    </row>
    <row r="225" spans="1:11" ht="28.5" x14ac:dyDescent="0.2">
      <c r="A225" s="14" t="s">
        <v>400</v>
      </c>
      <c r="B225" s="14" t="s">
        <v>401</v>
      </c>
      <c r="C225" s="10">
        <f t="shared" si="32"/>
        <v>109041.8</v>
      </c>
      <c r="D225" s="10">
        <f t="shared" si="28"/>
        <v>103589.71</v>
      </c>
      <c r="E225" s="10">
        <f t="shared" si="29"/>
        <v>155774</v>
      </c>
      <c r="F225" s="10">
        <f t="shared" si="30"/>
        <v>5452.09</v>
      </c>
      <c r="G225" s="9">
        <v>0.85</v>
      </c>
      <c r="H225" s="11">
        <f t="shared" si="27"/>
        <v>92685.53</v>
      </c>
      <c r="I225" s="12"/>
      <c r="J225" s="9"/>
      <c r="K225" s="26">
        <v>77887</v>
      </c>
    </row>
    <row r="226" spans="1:11" ht="28.5" x14ac:dyDescent="0.2">
      <c r="A226" s="14" t="s">
        <v>402</v>
      </c>
      <c r="B226" s="14" t="s">
        <v>403</v>
      </c>
      <c r="C226" s="10">
        <f t="shared" si="32"/>
        <v>142539.59999999998</v>
      </c>
      <c r="D226" s="10">
        <f t="shared" si="28"/>
        <v>135412.61999999997</v>
      </c>
      <c r="E226" s="10">
        <f t="shared" si="29"/>
        <v>203627.99999999997</v>
      </c>
      <c r="F226" s="10">
        <f t="shared" si="30"/>
        <v>7126.98</v>
      </c>
      <c r="G226" s="9">
        <v>0.85</v>
      </c>
      <c r="H226" s="11">
        <f t="shared" si="27"/>
        <v>121158.65999999999</v>
      </c>
      <c r="I226" s="12"/>
      <c r="J226" s="9"/>
      <c r="K226" s="26">
        <v>101814</v>
      </c>
    </row>
    <row r="227" spans="1:11" ht="28.5" x14ac:dyDescent="0.2">
      <c r="A227" s="14" t="s">
        <v>404</v>
      </c>
      <c r="B227" s="14" t="s">
        <v>405</v>
      </c>
      <c r="C227" s="10">
        <f t="shared" si="32"/>
        <v>145671.4</v>
      </c>
      <c r="D227" s="10">
        <f t="shared" si="28"/>
        <v>138387.82999999999</v>
      </c>
      <c r="E227" s="10">
        <f t="shared" si="29"/>
        <v>208102</v>
      </c>
      <c r="F227" s="10">
        <f t="shared" si="30"/>
        <v>7283.57</v>
      </c>
      <c r="G227" s="9">
        <v>0.85</v>
      </c>
      <c r="H227" s="11">
        <f t="shared" si="27"/>
        <v>123820.68999999999</v>
      </c>
      <c r="I227" s="12"/>
      <c r="J227" s="9"/>
      <c r="K227" s="26">
        <v>104051</v>
      </c>
    </row>
    <row r="228" spans="1:11" ht="28.5" x14ac:dyDescent="0.2">
      <c r="A228" s="14" t="s">
        <v>406</v>
      </c>
      <c r="B228" s="14" t="s">
        <v>407</v>
      </c>
      <c r="C228" s="10">
        <f t="shared" si="32"/>
        <v>234435.59999999998</v>
      </c>
      <c r="D228" s="10">
        <f t="shared" si="28"/>
        <v>222713.81999999998</v>
      </c>
      <c r="E228" s="10">
        <f t="shared" si="29"/>
        <v>334908</v>
      </c>
      <c r="F228" s="10">
        <f t="shared" si="30"/>
        <v>11721.779999999999</v>
      </c>
      <c r="G228" s="9">
        <v>0.85</v>
      </c>
      <c r="H228" s="11">
        <f t="shared" si="27"/>
        <v>199270.25999999998</v>
      </c>
      <c r="I228" s="12"/>
      <c r="J228" s="9"/>
      <c r="K228" s="26">
        <v>167454</v>
      </c>
    </row>
    <row r="229" spans="1:11" ht="28.5" x14ac:dyDescent="0.2">
      <c r="A229" s="14" t="s">
        <v>408</v>
      </c>
      <c r="B229" s="14" t="s">
        <v>409</v>
      </c>
      <c r="C229" s="10">
        <f t="shared" si="32"/>
        <v>20328</v>
      </c>
      <c r="D229" s="10">
        <f t="shared" si="28"/>
        <v>19311.599999999999</v>
      </c>
      <c r="E229" s="10">
        <f t="shared" si="29"/>
        <v>29040.000000000004</v>
      </c>
      <c r="F229" s="10">
        <f t="shared" si="30"/>
        <v>1016.4000000000001</v>
      </c>
      <c r="G229" s="9">
        <v>0.85</v>
      </c>
      <c r="H229" s="11">
        <f t="shared" si="27"/>
        <v>17278.8</v>
      </c>
      <c r="I229" s="12"/>
      <c r="J229" s="9"/>
      <c r="K229" s="26">
        <v>14520</v>
      </c>
    </row>
    <row r="230" spans="1:11" ht="28.5" x14ac:dyDescent="0.2">
      <c r="A230" s="14" t="s">
        <v>410</v>
      </c>
      <c r="B230" s="14" t="s">
        <v>411</v>
      </c>
      <c r="C230" s="10">
        <f t="shared" si="32"/>
        <v>34343.4</v>
      </c>
      <c r="D230" s="10">
        <f t="shared" si="28"/>
        <v>32626.230000000003</v>
      </c>
      <c r="E230" s="10">
        <f t="shared" si="29"/>
        <v>49062.000000000007</v>
      </c>
      <c r="F230" s="10">
        <f t="shared" si="30"/>
        <v>1717.17</v>
      </c>
      <c r="G230" s="9">
        <v>0.85</v>
      </c>
      <c r="H230" s="11">
        <f t="shared" ref="H230:H293" si="33">K230*1.19</f>
        <v>29191.89</v>
      </c>
      <c r="I230" s="12"/>
      <c r="J230" s="9"/>
      <c r="K230" s="26">
        <v>24531</v>
      </c>
    </row>
    <row r="231" spans="1:11" ht="28.5" x14ac:dyDescent="0.2">
      <c r="A231" s="14" t="s">
        <v>412</v>
      </c>
      <c r="B231" s="14" t="s">
        <v>413</v>
      </c>
      <c r="C231" s="10">
        <f t="shared" si="32"/>
        <v>19880</v>
      </c>
      <c r="D231" s="10">
        <f t="shared" si="28"/>
        <v>18886</v>
      </c>
      <c r="E231" s="10">
        <f t="shared" si="29"/>
        <v>28400</v>
      </c>
      <c r="F231" s="10">
        <f t="shared" si="30"/>
        <v>994</v>
      </c>
      <c r="G231" s="9">
        <v>0.85</v>
      </c>
      <c r="H231" s="11">
        <f t="shared" si="33"/>
        <v>16898</v>
      </c>
      <c r="I231" s="12"/>
      <c r="J231" s="9"/>
      <c r="K231" s="26">
        <v>14200</v>
      </c>
    </row>
    <row r="232" spans="1:11" ht="28.5" x14ac:dyDescent="0.2">
      <c r="A232" s="14" t="s">
        <v>414</v>
      </c>
      <c r="B232" s="14" t="s">
        <v>415</v>
      </c>
      <c r="C232" s="10">
        <f t="shared" si="32"/>
        <v>38071.599999999999</v>
      </c>
      <c r="D232" s="10">
        <f t="shared" si="28"/>
        <v>36168.019999999997</v>
      </c>
      <c r="E232" s="10">
        <f t="shared" si="29"/>
        <v>54388</v>
      </c>
      <c r="F232" s="10">
        <f t="shared" si="30"/>
        <v>1903.58</v>
      </c>
      <c r="G232" s="9">
        <v>0.85</v>
      </c>
      <c r="H232" s="11">
        <f t="shared" si="33"/>
        <v>32360.859999999997</v>
      </c>
      <c r="I232" s="12"/>
      <c r="J232" s="9"/>
      <c r="K232" s="26">
        <v>27194</v>
      </c>
    </row>
    <row r="233" spans="1:11" ht="28.5" x14ac:dyDescent="0.2">
      <c r="A233" s="14" t="s">
        <v>416</v>
      </c>
      <c r="B233" s="14" t="s">
        <v>417</v>
      </c>
      <c r="C233" s="10">
        <f t="shared" si="32"/>
        <v>11879</v>
      </c>
      <c r="D233" s="10">
        <f t="shared" si="28"/>
        <v>11285.05</v>
      </c>
      <c r="E233" s="10">
        <f t="shared" si="29"/>
        <v>16970</v>
      </c>
      <c r="F233" s="10">
        <f t="shared" si="30"/>
        <v>593.95000000000005</v>
      </c>
      <c r="G233" s="9">
        <v>0.85</v>
      </c>
      <c r="H233" s="11">
        <f t="shared" si="33"/>
        <v>10097.15</v>
      </c>
      <c r="I233" s="12"/>
      <c r="J233" s="9"/>
      <c r="K233" s="26">
        <v>8485</v>
      </c>
    </row>
    <row r="234" spans="1:11" ht="28.5" x14ac:dyDescent="0.2">
      <c r="A234" s="14" t="s">
        <v>418</v>
      </c>
      <c r="B234" s="14" t="s">
        <v>419</v>
      </c>
      <c r="C234" s="10">
        <f t="shared" si="32"/>
        <v>162867.6</v>
      </c>
      <c r="D234" s="10">
        <f t="shared" si="28"/>
        <v>154724.22</v>
      </c>
      <c r="E234" s="10">
        <f t="shared" si="29"/>
        <v>232668.00000000003</v>
      </c>
      <c r="F234" s="10">
        <f t="shared" si="30"/>
        <v>8143.380000000001</v>
      </c>
      <c r="G234" s="9">
        <v>0.85</v>
      </c>
      <c r="H234" s="11">
        <f t="shared" si="33"/>
        <v>138437.46</v>
      </c>
      <c r="I234" s="12"/>
      <c r="J234" s="9"/>
      <c r="K234" s="26">
        <v>116334</v>
      </c>
    </row>
    <row r="235" spans="1:11" ht="28.5" x14ac:dyDescent="0.2">
      <c r="A235" s="14" t="s">
        <v>420</v>
      </c>
      <c r="B235" s="14" t="s">
        <v>421</v>
      </c>
      <c r="C235" s="10">
        <f t="shared" si="32"/>
        <v>307767.59999999998</v>
      </c>
      <c r="D235" s="10">
        <f t="shared" si="28"/>
        <v>292379.21999999997</v>
      </c>
      <c r="E235" s="10">
        <f t="shared" si="29"/>
        <v>439668</v>
      </c>
      <c r="F235" s="10">
        <f t="shared" si="30"/>
        <v>15388.38</v>
      </c>
      <c r="G235" s="9">
        <v>0.85</v>
      </c>
      <c r="H235" s="11">
        <f t="shared" si="33"/>
        <v>261602.46</v>
      </c>
      <c r="I235" s="12"/>
      <c r="J235" s="9"/>
      <c r="K235" s="26">
        <v>219834</v>
      </c>
    </row>
    <row r="236" spans="1:11" x14ac:dyDescent="0.2">
      <c r="A236" s="14" t="s">
        <v>422</v>
      </c>
      <c r="B236" s="14" t="s">
        <v>423</v>
      </c>
      <c r="C236" s="10">
        <f t="shared" si="32"/>
        <v>56657.999999999993</v>
      </c>
      <c r="D236" s="10">
        <f t="shared" si="28"/>
        <v>53825.099999999991</v>
      </c>
      <c r="E236" s="10">
        <f t="shared" si="29"/>
        <v>80940</v>
      </c>
      <c r="F236" s="10">
        <f t="shared" si="30"/>
        <v>2832.8999999999996</v>
      </c>
      <c r="G236" s="9">
        <v>0.85</v>
      </c>
      <c r="H236" s="11">
        <f t="shared" si="33"/>
        <v>48159.299999999996</v>
      </c>
      <c r="I236" s="12"/>
      <c r="J236" s="9"/>
      <c r="K236" s="26">
        <v>40470</v>
      </c>
    </row>
    <row r="237" spans="1:11" ht="28.5" x14ac:dyDescent="0.2">
      <c r="A237" s="14" t="s">
        <v>424</v>
      </c>
      <c r="B237" s="14" t="s">
        <v>425</v>
      </c>
      <c r="C237" s="10">
        <f t="shared" si="32"/>
        <v>5007325.4000000004</v>
      </c>
      <c r="D237" s="10">
        <f t="shared" si="28"/>
        <v>4756959.1300000008</v>
      </c>
      <c r="E237" s="10">
        <f t="shared" si="29"/>
        <v>7153322.0000000009</v>
      </c>
      <c r="F237" s="10">
        <f t="shared" si="30"/>
        <v>250366.27000000002</v>
      </c>
      <c r="G237" s="9">
        <v>0.85</v>
      </c>
      <c r="H237" s="11">
        <f t="shared" si="33"/>
        <v>4256226.59</v>
      </c>
      <c r="I237" s="12"/>
      <c r="J237" s="9"/>
      <c r="K237" s="26">
        <v>3576661</v>
      </c>
    </row>
    <row r="238" spans="1:11" ht="28.5" x14ac:dyDescent="0.2">
      <c r="A238" s="14" t="s">
        <v>426</v>
      </c>
      <c r="B238" s="14" t="s">
        <v>427</v>
      </c>
      <c r="C238" s="10">
        <f t="shared" si="32"/>
        <v>21569.8</v>
      </c>
      <c r="D238" s="10">
        <f t="shared" si="28"/>
        <v>20491.309999999998</v>
      </c>
      <c r="E238" s="10">
        <f t="shared" si="29"/>
        <v>30814</v>
      </c>
      <c r="F238" s="10">
        <f t="shared" si="30"/>
        <v>1078.49</v>
      </c>
      <c r="G238" s="9">
        <v>0.85</v>
      </c>
      <c r="H238" s="11">
        <f t="shared" si="33"/>
        <v>18334.329999999998</v>
      </c>
      <c r="I238" s="12"/>
      <c r="J238" s="9"/>
      <c r="K238" s="26">
        <v>15407</v>
      </c>
    </row>
    <row r="239" spans="1:11" x14ac:dyDescent="0.2">
      <c r="A239" s="14" t="s">
        <v>428</v>
      </c>
      <c r="B239" s="14" t="s">
        <v>429</v>
      </c>
      <c r="C239" s="10">
        <f t="shared" si="32"/>
        <v>7753.2</v>
      </c>
      <c r="D239" s="10">
        <f t="shared" si="28"/>
        <v>7365.54</v>
      </c>
      <c r="E239" s="10">
        <f t="shared" si="29"/>
        <v>11076</v>
      </c>
      <c r="F239" s="10">
        <f t="shared" si="30"/>
        <v>387.66</v>
      </c>
      <c r="G239" s="9">
        <v>0.85</v>
      </c>
      <c r="H239" s="11">
        <f t="shared" si="33"/>
        <v>6590.2199999999993</v>
      </c>
      <c r="I239" s="12"/>
      <c r="J239" s="9"/>
      <c r="K239" s="26">
        <v>5538</v>
      </c>
    </row>
    <row r="240" spans="1:11" x14ac:dyDescent="0.2">
      <c r="A240" s="14" t="s">
        <v>430</v>
      </c>
      <c r="B240" s="14" t="s">
        <v>431</v>
      </c>
      <c r="C240" s="10">
        <f t="shared" si="32"/>
        <v>14214.2</v>
      </c>
      <c r="D240" s="10">
        <f t="shared" si="28"/>
        <v>13503.490000000002</v>
      </c>
      <c r="E240" s="10">
        <f t="shared" si="29"/>
        <v>20306.000000000004</v>
      </c>
      <c r="F240" s="10">
        <f t="shared" si="30"/>
        <v>710.71</v>
      </c>
      <c r="G240" s="9">
        <v>0.85</v>
      </c>
      <c r="H240" s="11">
        <f t="shared" si="33"/>
        <v>12082.07</v>
      </c>
      <c r="I240" s="12"/>
      <c r="J240" s="9"/>
      <c r="K240" s="26">
        <v>10153</v>
      </c>
    </row>
    <row r="241" spans="1:11" ht="15" x14ac:dyDescent="0.2">
      <c r="A241" s="31" t="s">
        <v>432</v>
      </c>
      <c r="B241" s="31"/>
      <c r="C241" s="31"/>
      <c r="D241" s="31"/>
      <c r="E241" s="31"/>
      <c r="F241" s="31"/>
      <c r="G241" s="9">
        <v>0.85</v>
      </c>
      <c r="H241" s="11">
        <f t="shared" si="33"/>
        <v>0</v>
      </c>
      <c r="I241" s="12"/>
      <c r="J241" s="9"/>
      <c r="K241" s="16"/>
    </row>
    <row r="242" spans="1:11" ht="28.5" x14ac:dyDescent="0.2">
      <c r="A242" s="14" t="s">
        <v>433</v>
      </c>
      <c r="B242" s="14" t="s">
        <v>434</v>
      </c>
      <c r="C242" s="10">
        <f>+H242/G242</f>
        <v>97661.2</v>
      </c>
      <c r="D242" s="10">
        <f t="shared" si="28"/>
        <v>92778.14</v>
      </c>
      <c r="E242" s="10">
        <f t="shared" si="29"/>
        <v>139516</v>
      </c>
      <c r="F242" s="10">
        <f t="shared" si="30"/>
        <v>4883.0600000000004</v>
      </c>
      <c r="G242" s="9">
        <v>0.85</v>
      </c>
      <c r="H242" s="11">
        <f t="shared" si="33"/>
        <v>83012.01999999999</v>
      </c>
      <c r="I242" s="12"/>
      <c r="J242" s="9"/>
      <c r="K242" s="26">
        <v>69758</v>
      </c>
    </row>
    <row r="243" spans="1:11" x14ac:dyDescent="0.2">
      <c r="A243" s="14" t="s">
        <v>435</v>
      </c>
      <c r="B243" s="14" t="s">
        <v>436</v>
      </c>
      <c r="C243" s="10">
        <f>+H243/G243</f>
        <v>178224.2</v>
      </c>
      <c r="D243" s="10">
        <f t="shared" si="28"/>
        <v>169312.99000000002</v>
      </c>
      <c r="E243" s="10">
        <f t="shared" si="29"/>
        <v>254606.00000000003</v>
      </c>
      <c r="F243" s="10">
        <f t="shared" si="30"/>
        <v>8911.2100000000009</v>
      </c>
      <c r="G243" s="9">
        <v>0.85</v>
      </c>
      <c r="H243" s="11">
        <f t="shared" si="33"/>
        <v>151490.57</v>
      </c>
      <c r="I243" s="12"/>
      <c r="J243" s="9"/>
      <c r="K243" s="26">
        <v>127303</v>
      </c>
    </row>
    <row r="244" spans="1:11" ht="28.5" x14ac:dyDescent="0.2">
      <c r="A244" s="14" t="s">
        <v>437</v>
      </c>
      <c r="B244" s="14" t="s">
        <v>438</v>
      </c>
      <c r="C244" s="10">
        <f>+H244/G244</f>
        <v>354132.8</v>
      </c>
      <c r="D244" s="10">
        <f t="shared" si="28"/>
        <v>336426.16</v>
      </c>
      <c r="E244" s="10">
        <f t="shared" si="29"/>
        <v>505904</v>
      </c>
      <c r="F244" s="10">
        <f t="shared" si="30"/>
        <v>17706.64</v>
      </c>
      <c r="G244" s="9">
        <v>0.85</v>
      </c>
      <c r="H244" s="11">
        <f t="shared" si="33"/>
        <v>301012.88</v>
      </c>
      <c r="I244" s="12"/>
      <c r="J244" s="9"/>
      <c r="K244" s="26">
        <v>252952</v>
      </c>
    </row>
    <row r="245" spans="1:11" ht="28.5" x14ac:dyDescent="0.2">
      <c r="A245" s="14" t="s">
        <v>439</v>
      </c>
      <c r="B245" s="14" t="s">
        <v>440</v>
      </c>
      <c r="C245" s="10">
        <f>+H245/G245</f>
        <v>33150.6</v>
      </c>
      <c r="D245" s="10">
        <f t="shared" si="28"/>
        <v>31493.07</v>
      </c>
      <c r="E245" s="10">
        <f t="shared" si="29"/>
        <v>47358</v>
      </c>
      <c r="F245" s="10">
        <f t="shared" si="30"/>
        <v>1657.53</v>
      </c>
      <c r="G245" s="9">
        <v>0.85</v>
      </c>
      <c r="H245" s="11">
        <f t="shared" si="33"/>
        <v>28178.01</v>
      </c>
      <c r="I245" s="12"/>
      <c r="J245" s="9"/>
      <c r="K245" s="26">
        <v>23679</v>
      </c>
    </row>
    <row r="246" spans="1:11" ht="15" x14ac:dyDescent="0.2">
      <c r="A246" s="31" t="s">
        <v>441</v>
      </c>
      <c r="B246" s="31"/>
      <c r="C246" s="31"/>
      <c r="D246" s="31"/>
      <c r="E246" s="31"/>
      <c r="F246" s="31"/>
      <c r="G246" s="9"/>
      <c r="H246" s="11"/>
      <c r="I246" s="12"/>
      <c r="J246" s="9"/>
      <c r="K246" s="16"/>
    </row>
    <row r="247" spans="1:11" ht="15" x14ac:dyDescent="0.2">
      <c r="A247" s="31" t="s">
        <v>442</v>
      </c>
      <c r="B247" s="31"/>
      <c r="C247" s="31"/>
      <c r="D247" s="31"/>
      <c r="E247" s="31"/>
      <c r="F247" s="31"/>
      <c r="G247" s="9"/>
      <c r="H247" s="11"/>
      <c r="I247" s="12"/>
      <c r="J247" s="9"/>
      <c r="K247" s="16"/>
    </row>
    <row r="248" spans="1:11" x14ac:dyDescent="0.2">
      <c r="A248" s="14" t="s">
        <v>443</v>
      </c>
      <c r="B248" s="14" t="s">
        <v>444</v>
      </c>
      <c r="C248" s="10">
        <f t="shared" ref="C248:C258" si="34">+H248/G248</f>
        <v>5915</v>
      </c>
      <c r="D248" s="10">
        <f t="shared" si="28"/>
        <v>5619.25</v>
      </c>
      <c r="E248" s="10">
        <f t="shared" si="29"/>
        <v>8450</v>
      </c>
      <c r="F248" s="10">
        <f t="shared" si="30"/>
        <v>295.75</v>
      </c>
      <c r="G248" s="9">
        <v>0.85</v>
      </c>
      <c r="H248" s="11">
        <f t="shared" si="33"/>
        <v>5027.75</v>
      </c>
      <c r="I248" s="12"/>
      <c r="J248" s="9"/>
      <c r="K248" s="26">
        <v>4225</v>
      </c>
    </row>
    <row r="249" spans="1:11" x14ac:dyDescent="0.2">
      <c r="A249" s="14" t="s">
        <v>445</v>
      </c>
      <c r="B249" s="14" t="s">
        <v>446</v>
      </c>
      <c r="C249" s="10">
        <f t="shared" si="34"/>
        <v>5318.5999999999995</v>
      </c>
      <c r="D249" s="10">
        <f t="shared" si="28"/>
        <v>5052.6699999999992</v>
      </c>
      <c r="E249" s="10">
        <f t="shared" si="29"/>
        <v>7598</v>
      </c>
      <c r="F249" s="10">
        <f t="shared" si="30"/>
        <v>265.93</v>
      </c>
      <c r="G249" s="9">
        <v>0.85</v>
      </c>
      <c r="H249" s="11">
        <f t="shared" si="33"/>
        <v>4520.8099999999995</v>
      </c>
      <c r="I249" s="12"/>
      <c r="J249" s="9"/>
      <c r="K249" s="26">
        <v>3799</v>
      </c>
    </row>
    <row r="250" spans="1:11" x14ac:dyDescent="0.2">
      <c r="A250" s="14" t="s">
        <v>447</v>
      </c>
      <c r="B250" s="14" t="s">
        <v>448</v>
      </c>
      <c r="C250" s="10">
        <f t="shared" si="34"/>
        <v>259</v>
      </c>
      <c r="D250" s="10">
        <f t="shared" si="28"/>
        <v>246.05</v>
      </c>
      <c r="E250" s="10">
        <f t="shared" si="29"/>
        <v>370</v>
      </c>
      <c r="F250" s="10">
        <f t="shared" si="30"/>
        <v>12.950000000000001</v>
      </c>
      <c r="G250" s="9">
        <v>0.85</v>
      </c>
      <c r="H250" s="11">
        <f t="shared" si="33"/>
        <v>220.14999999999998</v>
      </c>
      <c r="I250" s="12"/>
      <c r="J250" s="9"/>
      <c r="K250" s="27">
        <v>185</v>
      </c>
    </row>
    <row r="251" spans="1:11" ht="28.5" x14ac:dyDescent="0.2">
      <c r="A251" s="14" t="s">
        <v>449</v>
      </c>
      <c r="B251" s="14" t="s">
        <v>450</v>
      </c>
      <c r="C251" s="10">
        <f t="shared" si="34"/>
        <v>6162.8</v>
      </c>
      <c r="D251" s="10">
        <f t="shared" si="28"/>
        <v>5854.66</v>
      </c>
      <c r="E251" s="10">
        <f t="shared" si="29"/>
        <v>8804</v>
      </c>
      <c r="F251" s="10">
        <f t="shared" si="30"/>
        <v>308.14000000000004</v>
      </c>
      <c r="G251" s="9">
        <v>0.85</v>
      </c>
      <c r="H251" s="11">
        <f t="shared" si="33"/>
        <v>5238.38</v>
      </c>
      <c r="I251" s="12"/>
      <c r="J251" s="9"/>
      <c r="K251" s="26">
        <v>4402</v>
      </c>
    </row>
    <row r="252" spans="1:11" ht="28.5" x14ac:dyDescent="0.2">
      <c r="A252" s="14" t="s">
        <v>451</v>
      </c>
      <c r="B252" s="14" t="s">
        <v>452</v>
      </c>
      <c r="C252" s="10">
        <f t="shared" si="34"/>
        <v>8897</v>
      </c>
      <c r="D252" s="10">
        <f t="shared" si="28"/>
        <v>8452.15</v>
      </c>
      <c r="E252" s="10">
        <f t="shared" si="29"/>
        <v>12710</v>
      </c>
      <c r="F252" s="10">
        <f t="shared" si="30"/>
        <v>444.85</v>
      </c>
      <c r="G252" s="9">
        <v>0.85</v>
      </c>
      <c r="H252" s="11">
        <f t="shared" si="33"/>
        <v>7562.45</v>
      </c>
      <c r="I252" s="12"/>
      <c r="J252" s="9"/>
      <c r="K252" s="26">
        <v>6355</v>
      </c>
    </row>
    <row r="253" spans="1:11" ht="28.5" x14ac:dyDescent="0.2">
      <c r="A253" s="14" t="s">
        <v>453</v>
      </c>
      <c r="B253" s="14" t="s">
        <v>454</v>
      </c>
      <c r="C253" s="10">
        <f t="shared" si="34"/>
        <v>11083.8</v>
      </c>
      <c r="D253" s="10">
        <f t="shared" si="28"/>
        <v>10529.609999999999</v>
      </c>
      <c r="E253" s="10">
        <f t="shared" si="29"/>
        <v>15834</v>
      </c>
      <c r="F253" s="10">
        <f t="shared" si="30"/>
        <v>554.18999999999994</v>
      </c>
      <c r="G253" s="9">
        <v>0.85</v>
      </c>
      <c r="H253" s="11">
        <f t="shared" si="33"/>
        <v>9421.23</v>
      </c>
      <c r="I253" s="12"/>
      <c r="J253" s="9"/>
      <c r="K253" s="26">
        <v>7917</v>
      </c>
    </row>
    <row r="254" spans="1:11" ht="28.5" x14ac:dyDescent="0.2">
      <c r="A254" s="14" t="s">
        <v>455</v>
      </c>
      <c r="B254" s="14" t="s">
        <v>456</v>
      </c>
      <c r="C254" s="10">
        <f t="shared" si="34"/>
        <v>6014.4</v>
      </c>
      <c r="D254" s="10">
        <f t="shared" si="28"/>
        <v>5713.6799999999994</v>
      </c>
      <c r="E254" s="10">
        <f t="shared" si="29"/>
        <v>8592</v>
      </c>
      <c r="F254" s="10">
        <f t="shared" si="30"/>
        <v>300.71999999999997</v>
      </c>
      <c r="G254" s="9">
        <v>0.85</v>
      </c>
      <c r="H254" s="11">
        <f t="shared" si="33"/>
        <v>5112.24</v>
      </c>
      <c r="I254" s="12"/>
      <c r="J254" s="9"/>
      <c r="K254" s="26">
        <v>4296</v>
      </c>
    </row>
    <row r="255" spans="1:11" ht="28.5" x14ac:dyDescent="0.2">
      <c r="A255" s="14" t="s">
        <v>457</v>
      </c>
      <c r="B255" s="14" t="s">
        <v>458</v>
      </c>
      <c r="C255" s="10">
        <f t="shared" si="34"/>
        <v>9542.4</v>
      </c>
      <c r="D255" s="10">
        <f t="shared" si="28"/>
        <v>9065.2799999999988</v>
      </c>
      <c r="E255" s="10">
        <f t="shared" si="29"/>
        <v>13632</v>
      </c>
      <c r="F255" s="10">
        <f t="shared" si="30"/>
        <v>477.12</v>
      </c>
      <c r="G255" s="9">
        <v>0.85</v>
      </c>
      <c r="H255" s="11">
        <f t="shared" si="33"/>
        <v>8111.04</v>
      </c>
      <c r="I255" s="12"/>
      <c r="J255" s="9"/>
      <c r="K255" s="26">
        <v>6816</v>
      </c>
    </row>
    <row r="256" spans="1:11" ht="28.5" x14ac:dyDescent="0.2">
      <c r="A256" s="14" t="s">
        <v>459</v>
      </c>
      <c r="B256" s="14" t="s">
        <v>460</v>
      </c>
      <c r="C256" s="10">
        <f t="shared" si="34"/>
        <v>11928</v>
      </c>
      <c r="D256" s="10">
        <f t="shared" si="28"/>
        <v>11331.6</v>
      </c>
      <c r="E256" s="10">
        <f t="shared" si="29"/>
        <v>17040</v>
      </c>
      <c r="F256" s="10">
        <f t="shared" si="30"/>
        <v>596.4</v>
      </c>
      <c r="G256" s="9">
        <v>0.85</v>
      </c>
      <c r="H256" s="11">
        <f t="shared" si="33"/>
        <v>10138.799999999999</v>
      </c>
      <c r="I256" s="12"/>
      <c r="J256" s="9"/>
      <c r="K256" s="26">
        <v>8520</v>
      </c>
    </row>
    <row r="257" spans="1:13" x14ac:dyDescent="0.2">
      <c r="A257" s="14" t="s">
        <v>461</v>
      </c>
      <c r="B257" s="14" t="s">
        <v>462</v>
      </c>
      <c r="C257" s="10">
        <f t="shared" si="34"/>
        <v>535368.39999999991</v>
      </c>
      <c r="D257" s="10">
        <f t="shared" si="28"/>
        <v>508599.97999999992</v>
      </c>
      <c r="E257" s="10">
        <f t="shared" si="29"/>
        <v>764811.99999999988</v>
      </c>
      <c r="F257" s="10">
        <f t="shared" si="30"/>
        <v>26768.42</v>
      </c>
      <c r="G257" s="9">
        <v>0.85</v>
      </c>
      <c r="H257" s="11">
        <f t="shared" si="33"/>
        <v>455063.13999999996</v>
      </c>
      <c r="I257" s="12"/>
      <c r="J257" s="9"/>
      <c r="K257" s="26">
        <v>382406</v>
      </c>
    </row>
    <row r="258" spans="1:13" ht="28.5" x14ac:dyDescent="0.2">
      <c r="A258" s="14" t="s">
        <v>463</v>
      </c>
      <c r="B258" s="14" t="s">
        <v>464</v>
      </c>
      <c r="C258" s="10">
        <f t="shared" si="34"/>
        <v>586908</v>
      </c>
      <c r="D258" s="10">
        <f t="shared" si="28"/>
        <v>557562.6</v>
      </c>
      <c r="E258" s="10">
        <f t="shared" si="29"/>
        <v>838440</v>
      </c>
      <c r="F258" s="10">
        <f t="shared" si="30"/>
        <v>29345.4</v>
      </c>
      <c r="G258" s="9">
        <v>0.85</v>
      </c>
      <c r="H258" s="11">
        <f t="shared" si="33"/>
        <v>498871.8</v>
      </c>
      <c r="I258" s="12"/>
      <c r="J258" s="9"/>
      <c r="K258" s="26">
        <v>419220</v>
      </c>
    </row>
    <row r="259" spans="1:13" ht="15" x14ac:dyDescent="0.2">
      <c r="A259" s="31" t="s">
        <v>465</v>
      </c>
      <c r="B259" s="31"/>
      <c r="C259" s="31"/>
      <c r="D259" s="31"/>
      <c r="E259" s="31"/>
      <c r="F259" s="31"/>
      <c r="G259" s="9"/>
      <c r="H259" s="11"/>
      <c r="I259" s="12"/>
      <c r="J259" s="9"/>
      <c r="K259" s="16"/>
    </row>
    <row r="260" spans="1:13" x14ac:dyDescent="0.2">
      <c r="A260" s="14" t="s">
        <v>466</v>
      </c>
      <c r="B260" s="14" t="s">
        <v>467</v>
      </c>
      <c r="C260" s="10">
        <f t="shared" ref="C260:C275" si="35">+H260/G260</f>
        <v>8499.4</v>
      </c>
      <c r="D260" s="10">
        <f t="shared" si="28"/>
        <v>8074.4299999999994</v>
      </c>
      <c r="E260" s="10">
        <f t="shared" si="29"/>
        <v>12142</v>
      </c>
      <c r="F260" s="10">
        <f t="shared" si="30"/>
        <v>424.97</v>
      </c>
      <c r="G260" s="9">
        <v>0.85</v>
      </c>
      <c r="H260" s="11">
        <f t="shared" si="33"/>
        <v>7224.49</v>
      </c>
      <c r="I260" s="12"/>
      <c r="J260" s="9"/>
      <c r="K260" s="26">
        <v>6071</v>
      </c>
      <c r="M260" s="28"/>
    </row>
    <row r="261" spans="1:13" x14ac:dyDescent="0.2">
      <c r="A261" s="14" t="s">
        <v>468</v>
      </c>
      <c r="B261" s="14" t="s">
        <v>469</v>
      </c>
      <c r="C261" s="10">
        <f t="shared" si="35"/>
        <v>8101.8</v>
      </c>
      <c r="D261" s="10">
        <f t="shared" ref="D261:D323" si="36">+C261-F261</f>
        <v>7696.71</v>
      </c>
      <c r="E261" s="10">
        <f t="shared" ref="E261:E323" si="37">+C261/0.7</f>
        <v>11574.000000000002</v>
      </c>
      <c r="F261" s="10">
        <f t="shared" ref="F261:F323" si="38">+C261*5%</f>
        <v>405.09000000000003</v>
      </c>
      <c r="G261" s="9">
        <v>0.85</v>
      </c>
      <c r="H261" s="11">
        <f t="shared" si="33"/>
        <v>6886.53</v>
      </c>
      <c r="I261" s="12"/>
      <c r="J261" s="9"/>
      <c r="K261" s="26">
        <v>5787</v>
      </c>
      <c r="M261" s="28"/>
    </row>
    <row r="262" spans="1:13" x14ac:dyDescent="0.2">
      <c r="A262" s="14" t="s">
        <v>470</v>
      </c>
      <c r="B262" s="14" t="s">
        <v>471</v>
      </c>
      <c r="C262" s="10">
        <f t="shared" si="35"/>
        <v>8499.4</v>
      </c>
      <c r="D262" s="10">
        <f t="shared" si="36"/>
        <v>8074.4299999999994</v>
      </c>
      <c r="E262" s="10">
        <f t="shared" si="37"/>
        <v>12142</v>
      </c>
      <c r="F262" s="10">
        <f t="shared" si="38"/>
        <v>424.97</v>
      </c>
      <c r="G262" s="9">
        <v>0.85</v>
      </c>
      <c r="H262" s="11">
        <f t="shared" si="33"/>
        <v>7224.49</v>
      </c>
      <c r="I262" s="12"/>
      <c r="J262" s="9"/>
      <c r="K262" s="26">
        <v>6071</v>
      </c>
      <c r="M262" s="28"/>
    </row>
    <row r="263" spans="1:13" x14ac:dyDescent="0.2">
      <c r="A263" s="14" t="s">
        <v>472</v>
      </c>
      <c r="B263" s="14" t="s">
        <v>473</v>
      </c>
      <c r="C263" s="10">
        <f t="shared" si="35"/>
        <v>1640.8</v>
      </c>
      <c r="D263" s="10">
        <f t="shared" si="36"/>
        <v>1558.76</v>
      </c>
      <c r="E263" s="10">
        <f t="shared" si="37"/>
        <v>2344</v>
      </c>
      <c r="F263" s="10">
        <f t="shared" si="38"/>
        <v>82.04</v>
      </c>
      <c r="G263" s="9">
        <v>0.85</v>
      </c>
      <c r="H263" s="11">
        <f t="shared" si="33"/>
        <v>1394.6799999999998</v>
      </c>
      <c r="I263" s="12"/>
      <c r="J263" s="9"/>
      <c r="K263" s="26">
        <v>1172</v>
      </c>
      <c r="M263" s="28"/>
    </row>
    <row r="264" spans="1:13" x14ac:dyDescent="0.2">
      <c r="A264" s="14" t="s">
        <v>474</v>
      </c>
      <c r="B264" s="14" t="s">
        <v>475</v>
      </c>
      <c r="C264" s="10">
        <f t="shared" si="35"/>
        <v>795.19999999999993</v>
      </c>
      <c r="D264" s="10">
        <f t="shared" si="36"/>
        <v>755.43999999999994</v>
      </c>
      <c r="E264" s="10">
        <f t="shared" si="37"/>
        <v>1136</v>
      </c>
      <c r="F264" s="10">
        <f t="shared" si="38"/>
        <v>39.76</v>
      </c>
      <c r="G264" s="9">
        <v>0.85</v>
      </c>
      <c r="H264" s="11">
        <f t="shared" si="33"/>
        <v>675.92</v>
      </c>
      <c r="I264" s="12"/>
      <c r="J264" s="9"/>
      <c r="K264" s="27">
        <v>568</v>
      </c>
      <c r="M264" s="29"/>
    </row>
    <row r="265" spans="1:13" x14ac:dyDescent="0.2">
      <c r="A265" s="14" t="s">
        <v>476</v>
      </c>
      <c r="B265" s="14" t="s">
        <v>477</v>
      </c>
      <c r="C265" s="10">
        <f t="shared" si="35"/>
        <v>7653.7999999999993</v>
      </c>
      <c r="D265" s="10">
        <f t="shared" si="36"/>
        <v>7271.11</v>
      </c>
      <c r="E265" s="10">
        <f t="shared" si="37"/>
        <v>10934</v>
      </c>
      <c r="F265" s="10">
        <f t="shared" si="38"/>
        <v>382.69</v>
      </c>
      <c r="G265" s="9">
        <v>0.85</v>
      </c>
      <c r="H265" s="11">
        <f t="shared" si="33"/>
        <v>6505.73</v>
      </c>
      <c r="I265" s="12"/>
      <c r="J265" s="9"/>
      <c r="K265" s="26">
        <v>5467</v>
      </c>
      <c r="M265" s="28"/>
    </row>
    <row r="266" spans="1:13" x14ac:dyDescent="0.2">
      <c r="A266" s="14" t="s">
        <v>478</v>
      </c>
      <c r="B266" s="14" t="s">
        <v>479</v>
      </c>
      <c r="C266" s="10">
        <f t="shared" si="35"/>
        <v>9990.4</v>
      </c>
      <c r="D266" s="10">
        <f t="shared" si="36"/>
        <v>9490.8799999999992</v>
      </c>
      <c r="E266" s="10">
        <f t="shared" si="37"/>
        <v>14272</v>
      </c>
      <c r="F266" s="10">
        <f t="shared" si="38"/>
        <v>499.52</v>
      </c>
      <c r="G266" s="9">
        <v>0.85</v>
      </c>
      <c r="H266" s="11">
        <f t="shared" si="33"/>
        <v>8491.84</v>
      </c>
      <c r="I266" s="12"/>
      <c r="J266" s="9"/>
      <c r="K266" s="26">
        <v>7136</v>
      </c>
      <c r="M266" s="28"/>
    </row>
    <row r="267" spans="1:13" x14ac:dyDescent="0.2">
      <c r="A267" s="14" t="s">
        <v>480</v>
      </c>
      <c r="B267" s="14" t="s">
        <v>481</v>
      </c>
      <c r="C267" s="10">
        <f t="shared" si="35"/>
        <v>12376</v>
      </c>
      <c r="D267" s="10">
        <f t="shared" si="36"/>
        <v>11757.2</v>
      </c>
      <c r="E267" s="10">
        <f t="shared" si="37"/>
        <v>17680</v>
      </c>
      <c r="F267" s="10">
        <f t="shared" si="38"/>
        <v>618.80000000000007</v>
      </c>
      <c r="G267" s="9">
        <v>0.85</v>
      </c>
      <c r="H267" s="11">
        <f t="shared" si="33"/>
        <v>10519.6</v>
      </c>
      <c r="I267" s="12"/>
      <c r="J267" s="9"/>
      <c r="K267" s="26">
        <v>8840</v>
      </c>
      <c r="M267" s="28"/>
    </row>
    <row r="268" spans="1:13" x14ac:dyDescent="0.2">
      <c r="A268" s="14" t="s">
        <v>482</v>
      </c>
      <c r="B268" s="14" t="s">
        <v>483</v>
      </c>
      <c r="C268" s="10">
        <f t="shared" si="35"/>
        <v>16202.199999999999</v>
      </c>
      <c r="D268" s="10">
        <f t="shared" si="36"/>
        <v>15392.089999999998</v>
      </c>
      <c r="E268" s="10">
        <f t="shared" si="37"/>
        <v>23146</v>
      </c>
      <c r="F268" s="10">
        <f t="shared" si="38"/>
        <v>810.11</v>
      </c>
      <c r="G268" s="9">
        <v>0.85</v>
      </c>
      <c r="H268" s="11">
        <f t="shared" si="33"/>
        <v>13771.869999999999</v>
      </c>
      <c r="I268" s="12"/>
      <c r="J268" s="9"/>
      <c r="K268" s="26">
        <v>11573</v>
      </c>
      <c r="M268" s="28"/>
    </row>
    <row r="269" spans="1:13" x14ac:dyDescent="0.2">
      <c r="A269" s="14" t="s">
        <v>484</v>
      </c>
      <c r="B269" s="14" t="s">
        <v>485</v>
      </c>
      <c r="C269" s="10">
        <f t="shared" si="35"/>
        <v>7455</v>
      </c>
      <c r="D269" s="10">
        <f t="shared" si="36"/>
        <v>7082.25</v>
      </c>
      <c r="E269" s="10">
        <f t="shared" si="37"/>
        <v>10650</v>
      </c>
      <c r="F269" s="10">
        <f t="shared" si="38"/>
        <v>372.75</v>
      </c>
      <c r="G269" s="9">
        <v>0.85</v>
      </c>
      <c r="H269" s="11">
        <f t="shared" si="33"/>
        <v>6336.75</v>
      </c>
      <c r="I269" s="12"/>
      <c r="J269" s="9"/>
      <c r="K269" s="26">
        <v>5325</v>
      </c>
      <c r="M269" s="28"/>
    </row>
    <row r="270" spans="1:13" x14ac:dyDescent="0.2">
      <c r="A270" s="14" t="s">
        <v>486</v>
      </c>
      <c r="B270" s="14" t="s">
        <v>487</v>
      </c>
      <c r="C270" s="10">
        <f t="shared" si="35"/>
        <v>9791.5999999999985</v>
      </c>
      <c r="D270" s="10">
        <f t="shared" si="36"/>
        <v>9302.0199999999986</v>
      </c>
      <c r="E270" s="10">
        <f t="shared" si="37"/>
        <v>13987.999999999998</v>
      </c>
      <c r="F270" s="10">
        <f t="shared" si="38"/>
        <v>489.57999999999993</v>
      </c>
      <c r="G270" s="9">
        <v>0.85</v>
      </c>
      <c r="H270" s="11">
        <f t="shared" si="33"/>
        <v>8322.8599999999988</v>
      </c>
      <c r="I270" s="12"/>
      <c r="J270" s="9"/>
      <c r="K270" s="26">
        <v>6994</v>
      </c>
      <c r="M270" s="28"/>
    </row>
    <row r="271" spans="1:13" x14ac:dyDescent="0.2">
      <c r="A271" s="14" t="s">
        <v>488</v>
      </c>
      <c r="B271" s="14" t="s">
        <v>489</v>
      </c>
      <c r="C271" s="10">
        <f t="shared" si="35"/>
        <v>11928</v>
      </c>
      <c r="D271" s="10">
        <f t="shared" si="36"/>
        <v>11331.6</v>
      </c>
      <c r="E271" s="10">
        <f t="shared" si="37"/>
        <v>17040</v>
      </c>
      <c r="F271" s="10">
        <f t="shared" si="38"/>
        <v>596.4</v>
      </c>
      <c r="G271" s="9">
        <v>0.85</v>
      </c>
      <c r="H271" s="11">
        <f t="shared" si="33"/>
        <v>10138.799999999999</v>
      </c>
      <c r="I271" s="12"/>
      <c r="J271" s="9"/>
      <c r="K271" s="26">
        <v>8520</v>
      </c>
      <c r="M271" s="28"/>
    </row>
    <row r="272" spans="1:13" ht="28.5" x14ac:dyDescent="0.2">
      <c r="A272" s="14" t="s">
        <v>490</v>
      </c>
      <c r="B272" s="14" t="s">
        <v>491</v>
      </c>
      <c r="C272" s="10">
        <f t="shared" si="35"/>
        <v>15457.4</v>
      </c>
      <c r="D272" s="10">
        <f t="shared" si="36"/>
        <v>14684.529999999999</v>
      </c>
      <c r="E272" s="10">
        <f t="shared" si="37"/>
        <v>22082</v>
      </c>
      <c r="F272" s="10">
        <f t="shared" si="38"/>
        <v>772.87</v>
      </c>
      <c r="G272" s="9">
        <v>0.85</v>
      </c>
      <c r="H272" s="11">
        <f t="shared" si="33"/>
        <v>13138.789999999999</v>
      </c>
      <c r="I272" s="12"/>
      <c r="J272" s="9"/>
      <c r="K272" s="26">
        <v>11041</v>
      </c>
      <c r="M272" s="28"/>
    </row>
    <row r="273" spans="1:13" x14ac:dyDescent="0.2">
      <c r="A273" s="14" t="s">
        <v>492</v>
      </c>
      <c r="B273" s="14" t="s">
        <v>493</v>
      </c>
      <c r="C273" s="10">
        <f t="shared" si="35"/>
        <v>716625</v>
      </c>
      <c r="D273" s="10">
        <f t="shared" si="36"/>
        <v>680793.75</v>
      </c>
      <c r="E273" s="10">
        <f t="shared" si="37"/>
        <v>1023750.0000000001</v>
      </c>
      <c r="F273" s="10">
        <f t="shared" si="38"/>
        <v>35831.25</v>
      </c>
      <c r="G273" s="9">
        <v>0.85</v>
      </c>
      <c r="H273" s="11">
        <f t="shared" si="33"/>
        <v>609131.25</v>
      </c>
      <c r="I273" s="12"/>
      <c r="J273" s="9"/>
      <c r="K273" s="26">
        <v>511875</v>
      </c>
      <c r="M273" s="28"/>
    </row>
    <row r="274" spans="1:13" x14ac:dyDescent="0.2">
      <c r="A274" s="14" t="s">
        <v>494</v>
      </c>
      <c r="B274" s="14" t="s">
        <v>495</v>
      </c>
      <c r="C274" s="10">
        <f t="shared" si="35"/>
        <v>822137.39999999991</v>
      </c>
      <c r="D274" s="10">
        <f t="shared" si="36"/>
        <v>781030.52999999991</v>
      </c>
      <c r="E274" s="10">
        <f t="shared" si="37"/>
        <v>1174482</v>
      </c>
      <c r="F274" s="10">
        <f t="shared" si="38"/>
        <v>41106.869999999995</v>
      </c>
      <c r="G274" s="9">
        <v>0.85</v>
      </c>
      <c r="H274" s="11">
        <f t="shared" si="33"/>
        <v>698816.78999999992</v>
      </c>
      <c r="I274" s="12"/>
      <c r="J274" s="9"/>
      <c r="K274" s="26">
        <v>587241</v>
      </c>
      <c r="M274" s="28"/>
    </row>
    <row r="275" spans="1:13" ht="28.5" x14ac:dyDescent="0.2">
      <c r="A275" s="14" t="s">
        <v>496</v>
      </c>
      <c r="B275" s="14" t="s">
        <v>497</v>
      </c>
      <c r="C275" s="10">
        <f t="shared" si="35"/>
        <v>941964.79999999993</v>
      </c>
      <c r="D275" s="10">
        <f t="shared" si="36"/>
        <v>894866.55999999994</v>
      </c>
      <c r="E275" s="10">
        <f t="shared" si="37"/>
        <v>1345664</v>
      </c>
      <c r="F275" s="10">
        <f t="shared" si="38"/>
        <v>47098.239999999998</v>
      </c>
      <c r="G275" s="9">
        <v>0.85</v>
      </c>
      <c r="H275" s="11">
        <f t="shared" si="33"/>
        <v>800670.08</v>
      </c>
      <c r="I275" s="12"/>
      <c r="J275" s="9"/>
      <c r="K275" s="26">
        <v>672832</v>
      </c>
      <c r="M275" s="28"/>
    </row>
    <row r="276" spans="1:13" ht="15" x14ac:dyDescent="0.2">
      <c r="A276" s="31" t="s">
        <v>498</v>
      </c>
      <c r="B276" s="31"/>
      <c r="C276" s="31"/>
      <c r="D276" s="31"/>
      <c r="E276" s="31"/>
      <c r="F276" s="31"/>
      <c r="G276" s="9"/>
      <c r="H276" s="11"/>
      <c r="I276" s="12"/>
      <c r="J276" s="9"/>
      <c r="K276" s="16"/>
    </row>
    <row r="277" spans="1:13" x14ac:dyDescent="0.2">
      <c r="A277" s="14" t="s">
        <v>499</v>
      </c>
      <c r="B277" s="14" t="s">
        <v>500</v>
      </c>
      <c r="C277" s="10">
        <f t="shared" ref="C277:C300" si="39">+H277/G277</f>
        <v>13270.6</v>
      </c>
      <c r="D277" s="10">
        <f t="shared" si="36"/>
        <v>12607.07</v>
      </c>
      <c r="E277" s="10">
        <f t="shared" si="37"/>
        <v>18958</v>
      </c>
      <c r="F277" s="10">
        <f t="shared" si="38"/>
        <v>663.53000000000009</v>
      </c>
      <c r="G277" s="9">
        <v>0.85</v>
      </c>
      <c r="H277" s="11">
        <f t="shared" si="33"/>
        <v>11280.01</v>
      </c>
      <c r="I277" s="12"/>
      <c r="J277" s="9"/>
      <c r="K277" s="26">
        <v>9479</v>
      </c>
      <c r="M277" s="28"/>
    </row>
    <row r="278" spans="1:13" x14ac:dyDescent="0.2">
      <c r="A278" s="14" t="s">
        <v>501</v>
      </c>
      <c r="B278" s="14" t="s">
        <v>502</v>
      </c>
      <c r="C278" s="10">
        <f t="shared" si="39"/>
        <v>12822.599999999999</v>
      </c>
      <c r="D278" s="10">
        <f t="shared" si="36"/>
        <v>12181.47</v>
      </c>
      <c r="E278" s="10">
        <f t="shared" si="37"/>
        <v>18318</v>
      </c>
      <c r="F278" s="10">
        <f t="shared" si="38"/>
        <v>641.13</v>
      </c>
      <c r="G278" s="9">
        <v>0.85</v>
      </c>
      <c r="H278" s="11">
        <f t="shared" si="33"/>
        <v>10899.21</v>
      </c>
      <c r="I278" s="12"/>
      <c r="J278" s="9"/>
      <c r="K278" s="26">
        <v>9159</v>
      </c>
      <c r="M278" s="28"/>
    </row>
    <row r="279" spans="1:13" x14ac:dyDescent="0.2">
      <c r="A279" s="14" t="s">
        <v>503</v>
      </c>
      <c r="B279" s="14" t="s">
        <v>504</v>
      </c>
      <c r="C279" s="10">
        <f t="shared" si="39"/>
        <v>10885</v>
      </c>
      <c r="D279" s="10">
        <f t="shared" si="36"/>
        <v>10340.75</v>
      </c>
      <c r="E279" s="10">
        <f t="shared" si="37"/>
        <v>15550.000000000002</v>
      </c>
      <c r="F279" s="10">
        <f t="shared" si="38"/>
        <v>544.25</v>
      </c>
      <c r="G279" s="9">
        <v>0.85</v>
      </c>
      <c r="H279" s="11">
        <f t="shared" si="33"/>
        <v>9252.25</v>
      </c>
      <c r="I279" s="12"/>
      <c r="J279" s="9"/>
      <c r="K279" s="26">
        <v>7775</v>
      </c>
      <c r="M279" s="28"/>
    </row>
    <row r="280" spans="1:13" x14ac:dyDescent="0.2">
      <c r="A280" s="14" t="s">
        <v>505</v>
      </c>
      <c r="B280" s="14" t="s">
        <v>506</v>
      </c>
      <c r="C280" s="10">
        <f t="shared" si="39"/>
        <v>10834.6</v>
      </c>
      <c r="D280" s="10">
        <f t="shared" si="36"/>
        <v>10292.870000000001</v>
      </c>
      <c r="E280" s="10">
        <f t="shared" si="37"/>
        <v>15478.000000000002</v>
      </c>
      <c r="F280" s="10">
        <f t="shared" si="38"/>
        <v>541.73</v>
      </c>
      <c r="G280" s="9">
        <v>0.85</v>
      </c>
      <c r="H280" s="11">
        <f t="shared" si="33"/>
        <v>9209.41</v>
      </c>
      <c r="I280" s="12"/>
      <c r="J280" s="9"/>
      <c r="K280" s="26">
        <v>7739</v>
      </c>
      <c r="M280" s="28"/>
    </row>
    <row r="281" spans="1:13" x14ac:dyDescent="0.2">
      <c r="A281" s="14" t="s">
        <v>507</v>
      </c>
      <c r="B281" s="14" t="s">
        <v>508</v>
      </c>
      <c r="C281" s="10">
        <f t="shared" si="39"/>
        <v>1689.8</v>
      </c>
      <c r="D281" s="10">
        <f t="shared" si="36"/>
        <v>1605.31</v>
      </c>
      <c r="E281" s="10">
        <f t="shared" si="37"/>
        <v>2414</v>
      </c>
      <c r="F281" s="10">
        <f t="shared" si="38"/>
        <v>84.490000000000009</v>
      </c>
      <c r="G281" s="9">
        <v>0.85</v>
      </c>
      <c r="H281" s="11">
        <f t="shared" si="33"/>
        <v>1436.33</v>
      </c>
      <c r="I281" s="12"/>
      <c r="J281" s="9"/>
      <c r="K281" s="26">
        <v>1207</v>
      </c>
      <c r="M281" s="28"/>
    </row>
    <row r="282" spans="1:13" x14ac:dyDescent="0.2">
      <c r="A282" s="14" t="s">
        <v>509</v>
      </c>
      <c r="B282" s="14" t="s">
        <v>510</v>
      </c>
      <c r="C282" s="10">
        <f t="shared" si="39"/>
        <v>1520.3999999999999</v>
      </c>
      <c r="D282" s="10">
        <f t="shared" si="36"/>
        <v>1444.3799999999999</v>
      </c>
      <c r="E282" s="10">
        <f t="shared" si="37"/>
        <v>2172</v>
      </c>
      <c r="F282" s="10">
        <f t="shared" si="38"/>
        <v>76.02</v>
      </c>
      <c r="G282" s="9">
        <v>0.85</v>
      </c>
      <c r="H282" s="11">
        <f t="shared" si="33"/>
        <v>1292.3399999999999</v>
      </c>
      <c r="I282" s="12"/>
      <c r="J282" s="9"/>
      <c r="K282" s="26">
        <v>1086</v>
      </c>
      <c r="M282" s="28"/>
    </row>
    <row r="283" spans="1:13" ht="28.5" x14ac:dyDescent="0.2">
      <c r="A283" s="14" t="s">
        <v>511</v>
      </c>
      <c r="B283" s="14" t="s">
        <v>512</v>
      </c>
      <c r="C283" s="10">
        <f t="shared" si="39"/>
        <v>12524.4</v>
      </c>
      <c r="D283" s="10">
        <f t="shared" si="36"/>
        <v>11898.18</v>
      </c>
      <c r="E283" s="10">
        <f t="shared" si="37"/>
        <v>17892</v>
      </c>
      <c r="F283" s="10">
        <f t="shared" si="38"/>
        <v>626.22</v>
      </c>
      <c r="G283" s="9">
        <v>0.85</v>
      </c>
      <c r="H283" s="11">
        <f t="shared" si="33"/>
        <v>10645.74</v>
      </c>
      <c r="I283" s="12"/>
      <c r="J283" s="9"/>
      <c r="K283" s="26">
        <v>8946</v>
      </c>
      <c r="M283" s="28"/>
    </row>
    <row r="284" spans="1:13" ht="28.5" x14ac:dyDescent="0.2">
      <c r="A284" s="14" t="s">
        <v>513</v>
      </c>
      <c r="B284" s="14" t="s">
        <v>514</v>
      </c>
      <c r="C284" s="10">
        <f t="shared" si="39"/>
        <v>15159.2</v>
      </c>
      <c r="D284" s="10">
        <f t="shared" si="36"/>
        <v>14401.240000000002</v>
      </c>
      <c r="E284" s="10">
        <f t="shared" si="37"/>
        <v>21656.000000000004</v>
      </c>
      <c r="F284" s="10">
        <f t="shared" si="38"/>
        <v>757.96</v>
      </c>
      <c r="G284" s="9">
        <v>0.85</v>
      </c>
      <c r="H284" s="11">
        <f t="shared" si="33"/>
        <v>12885.32</v>
      </c>
      <c r="I284" s="12"/>
      <c r="J284" s="9"/>
      <c r="K284" s="26">
        <v>10828</v>
      </c>
      <c r="M284" s="28"/>
    </row>
    <row r="285" spans="1:13" ht="28.5" x14ac:dyDescent="0.2">
      <c r="A285" s="14" t="s">
        <v>515</v>
      </c>
      <c r="B285" s="14" t="s">
        <v>516</v>
      </c>
      <c r="C285" s="10">
        <f t="shared" si="39"/>
        <v>17644.2</v>
      </c>
      <c r="D285" s="10">
        <f t="shared" si="36"/>
        <v>16761.990000000002</v>
      </c>
      <c r="E285" s="10">
        <f t="shared" si="37"/>
        <v>25206.000000000004</v>
      </c>
      <c r="F285" s="10">
        <f t="shared" si="38"/>
        <v>882.21</v>
      </c>
      <c r="G285" s="9">
        <v>0.85</v>
      </c>
      <c r="H285" s="11">
        <f t="shared" si="33"/>
        <v>14997.57</v>
      </c>
      <c r="I285" s="12"/>
      <c r="J285" s="9"/>
      <c r="K285" s="26">
        <v>12603</v>
      </c>
      <c r="M285" s="28"/>
    </row>
    <row r="286" spans="1:13" ht="28.5" x14ac:dyDescent="0.2">
      <c r="A286" s="14" t="s">
        <v>517</v>
      </c>
      <c r="B286" s="14" t="s">
        <v>518</v>
      </c>
      <c r="C286" s="10">
        <f t="shared" si="39"/>
        <v>22098.999999999996</v>
      </c>
      <c r="D286" s="10">
        <f t="shared" si="36"/>
        <v>20994.049999999996</v>
      </c>
      <c r="E286" s="10">
        <f t="shared" si="37"/>
        <v>31569.999999999996</v>
      </c>
      <c r="F286" s="10">
        <f t="shared" si="38"/>
        <v>1104.9499999999998</v>
      </c>
      <c r="G286" s="9">
        <v>0.85</v>
      </c>
      <c r="H286" s="11">
        <f t="shared" si="33"/>
        <v>18784.149999999998</v>
      </c>
      <c r="I286" s="12"/>
      <c r="J286" s="9"/>
      <c r="K286" s="26">
        <v>15785</v>
      </c>
      <c r="M286" s="28"/>
    </row>
    <row r="287" spans="1:13" ht="28.5" x14ac:dyDescent="0.2">
      <c r="A287" s="14" t="s">
        <v>519</v>
      </c>
      <c r="B287" s="14" t="s">
        <v>520</v>
      </c>
      <c r="C287" s="10">
        <f t="shared" si="39"/>
        <v>12425</v>
      </c>
      <c r="D287" s="10">
        <f t="shared" si="36"/>
        <v>11803.75</v>
      </c>
      <c r="E287" s="10">
        <f t="shared" si="37"/>
        <v>17750</v>
      </c>
      <c r="F287" s="10">
        <f t="shared" si="38"/>
        <v>621.25</v>
      </c>
      <c r="G287" s="9">
        <v>0.85</v>
      </c>
      <c r="H287" s="11">
        <f t="shared" si="33"/>
        <v>10561.25</v>
      </c>
      <c r="I287" s="12"/>
      <c r="J287" s="9"/>
      <c r="K287" s="26">
        <v>8875</v>
      </c>
      <c r="M287" s="28"/>
    </row>
    <row r="288" spans="1:13" ht="28.5" x14ac:dyDescent="0.2">
      <c r="A288" s="14" t="s">
        <v>521</v>
      </c>
      <c r="B288" s="14" t="s">
        <v>522</v>
      </c>
      <c r="C288" s="10">
        <f t="shared" si="39"/>
        <v>17991.399999999998</v>
      </c>
      <c r="D288" s="10">
        <f t="shared" si="36"/>
        <v>17091.829999999998</v>
      </c>
      <c r="E288" s="10">
        <f t="shared" si="37"/>
        <v>25702</v>
      </c>
      <c r="F288" s="10">
        <f t="shared" si="38"/>
        <v>899.56999999999994</v>
      </c>
      <c r="G288" s="9">
        <v>0.85</v>
      </c>
      <c r="H288" s="11">
        <f t="shared" si="33"/>
        <v>15292.689999999999</v>
      </c>
      <c r="I288" s="12"/>
      <c r="J288" s="9"/>
      <c r="K288" s="26">
        <v>12851</v>
      </c>
      <c r="M288" s="28"/>
    </row>
    <row r="289" spans="1:13" ht="28.5" x14ac:dyDescent="0.2">
      <c r="A289" s="14" t="s">
        <v>523</v>
      </c>
      <c r="B289" s="14" t="s">
        <v>524</v>
      </c>
      <c r="C289" s="10">
        <f t="shared" si="39"/>
        <v>17196.199999999997</v>
      </c>
      <c r="D289" s="10">
        <f t="shared" si="36"/>
        <v>16336.389999999998</v>
      </c>
      <c r="E289" s="10">
        <f t="shared" si="37"/>
        <v>24565.999999999996</v>
      </c>
      <c r="F289" s="10">
        <f t="shared" si="38"/>
        <v>859.81</v>
      </c>
      <c r="G289" s="9">
        <v>0.85</v>
      </c>
      <c r="H289" s="11">
        <f t="shared" si="33"/>
        <v>14616.769999999999</v>
      </c>
      <c r="I289" s="12"/>
      <c r="J289" s="9"/>
      <c r="K289" s="26">
        <v>12283</v>
      </c>
      <c r="M289" s="28"/>
    </row>
    <row r="290" spans="1:13" ht="28.5" x14ac:dyDescent="0.2">
      <c r="A290" s="14" t="s">
        <v>525</v>
      </c>
      <c r="B290" s="14" t="s">
        <v>526</v>
      </c>
      <c r="C290" s="10">
        <f t="shared" si="39"/>
        <v>24452.400000000001</v>
      </c>
      <c r="D290" s="10">
        <f t="shared" si="36"/>
        <v>23229.780000000002</v>
      </c>
      <c r="E290" s="10">
        <f t="shared" si="37"/>
        <v>34932.000000000007</v>
      </c>
      <c r="F290" s="10">
        <f t="shared" si="38"/>
        <v>1222.6200000000001</v>
      </c>
      <c r="G290" s="9">
        <v>0.85</v>
      </c>
      <c r="H290" s="11">
        <f t="shared" si="33"/>
        <v>20784.54</v>
      </c>
      <c r="I290" s="21"/>
      <c r="J290" s="22"/>
      <c r="K290" s="26">
        <v>17466</v>
      </c>
      <c r="M290" s="28"/>
    </row>
    <row r="291" spans="1:13" ht="28.5" x14ac:dyDescent="0.2">
      <c r="A291" s="14" t="s">
        <v>527</v>
      </c>
      <c r="B291" s="14" t="s">
        <v>528</v>
      </c>
      <c r="C291" s="10">
        <f t="shared" si="39"/>
        <v>12226.2</v>
      </c>
      <c r="D291" s="10">
        <f t="shared" si="36"/>
        <v>11614.890000000001</v>
      </c>
      <c r="E291" s="10">
        <f t="shared" si="37"/>
        <v>17466.000000000004</v>
      </c>
      <c r="F291" s="10">
        <f t="shared" si="38"/>
        <v>611.31000000000006</v>
      </c>
      <c r="G291" s="9">
        <v>0.85</v>
      </c>
      <c r="H291" s="11">
        <f t="shared" si="33"/>
        <v>10392.27</v>
      </c>
      <c r="I291" s="21"/>
      <c r="J291" s="22"/>
      <c r="K291" s="26">
        <v>8733</v>
      </c>
      <c r="M291" s="28"/>
    </row>
    <row r="292" spans="1:13" ht="28.5" x14ac:dyDescent="0.2">
      <c r="A292" s="14" t="s">
        <v>529</v>
      </c>
      <c r="B292" s="14" t="s">
        <v>530</v>
      </c>
      <c r="C292" s="10">
        <f t="shared" si="39"/>
        <v>14711.199999999999</v>
      </c>
      <c r="D292" s="10">
        <f t="shared" si="36"/>
        <v>13975.64</v>
      </c>
      <c r="E292" s="10">
        <f t="shared" si="37"/>
        <v>21016</v>
      </c>
      <c r="F292" s="10">
        <f t="shared" si="38"/>
        <v>735.56</v>
      </c>
      <c r="G292" s="9">
        <v>0.85</v>
      </c>
      <c r="H292" s="11">
        <f t="shared" si="33"/>
        <v>12504.519999999999</v>
      </c>
      <c r="I292" s="21"/>
      <c r="J292" s="22"/>
      <c r="K292" s="26">
        <v>10508</v>
      </c>
      <c r="M292" s="28"/>
    </row>
    <row r="293" spans="1:13" ht="28.5" x14ac:dyDescent="0.2">
      <c r="A293" s="14" t="s">
        <v>531</v>
      </c>
      <c r="B293" s="14" t="s">
        <v>532</v>
      </c>
      <c r="C293" s="10">
        <f t="shared" si="39"/>
        <v>16650.2</v>
      </c>
      <c r="D293" s="10">
        <f t="shared" si="36"/>
        <v>15817.69</v>
      </c>
      <c r="E293" s="10">
        <f t="shared" si="37"/>
        <v>23786.000000000004</v>
      </c>
      <c r="F293" s="10">
        <f t="shared" si="38"/>
        <v>832.5100000000001</v>
      </c>
      <c r="G293" s="9">
        <v>0.85</v>
      </c>
      <c r="H293" s="11">
        <f t="shared" si="33"/>
        <v>14152.67</v>
      </c>
      <c r="I293" s="12"/>
      <c r="J293" s="9"/>
      <c r="K293" s="26">
        <v>11893</v>
      </c>
      <c r="M293" s="28"/>
    </row>
    <row r="294" spans="1:13" ht="28.5" x14ac:dyDescent="0.2">
      <c r="A294" s="14" t="s">
        <v>533</v>
      </c>
      <c r="B294" s="14" t="s">
        <v>534</v>
      </c>
      <c r="C294" s="10">
        <f t="shared" si="39"/>
        <v>19831</v>
      </c>
      <c r="D294" s="10">
        <f t="shared" si="36"/>
        <v>18839.45</v>
      </c>
      <c r="E294" s="10">
        <f t="shared" si="37"/>
        <v>28330</v>
      </c>
      <c r="F294" s="10">
        <f t="shared" si="38"/>
        <v>991.55000000000007</v>
      </c>
      <c r="G294" s="9">
        <v>0.85</v>
      </c>
      <c r="H294" s="11">
        <f t="shared" ref="H294:H314" si="40">K294*1.19</f>
        <v>16856.349999999999</v>
      </c>
      <c r="I294" s="12"/>
      <c r="J294" s="9"/>
      <c r="K294" s="26">
        <v>14165</v>
      </c>
      <c r="M294" s="28"/>
    </row>
    <row r="295" spans="1:13" ht="28.5" x14ac:dyDescent="0.2">
      <c r="A295" s="14" t="s">
        <v>535</v>
      </c>
      <c r="B295" s="14" t="s">
        <v>536</v>
      </c>
      <c r="C295" s="10">
        <f t="shared" si="39"/>
        <v>13120.800000000001</v>
      </c>
      <c r="D295" s="10">
        <f t="shared" si="36"/>
        <v>12464.76</v>
      </c>
      <c r="E295" s="10">
        <f t="shared" si="37"/>
        <v>18744.000000000004</v>
      </c>
      <c r="F295" s="10">
        <f t="shared" si="38"/>
        <v>656.04000000000008</v>
      </c>
      <c r="G295" s="9">
        <v>0.85</v>
      </c>
      <c r="H295" s="11">
        <f t="shared" si="40"/>
        <v>11152.68</v>
      </c>
      <c r="I295" s="12"/>
      <c r="J295" s="9"/>
      <c r="K295" s="26">
        <v>9372</v>
      </c>
      <c r="M295" s="28"/>
    </row>
    <row r="296" spans="1:13" ht="28.5" x14ac:dyDescent="0.2">
      <c r="A296" s="14" t="s">
        <v>537</v>
      </c>
      <c r="B296" s="14" t="s">
        <v>538</v>
      </c>
      <c r="C296" s="10">
        <f t="shared" si="39"/>
        <v>15159.2</v>
      </c>
      <c r="D296" s="10">
        <f t="shared" si="36"/>
        <v>14401.240000000002</v>
      </c>
      <c r="E296" s="10">
        <f t="shared" si="37"/>
        <v>21656.000000000004</v>
      </c>
      <c r="F296" s="10">
        <f t="shared" si="38"/>
        <v>757.96</v>
      </c>
      <c r="G296" s="9">
        <v>0.85</v>
      </c>
      <c r="H296" s="11">
        <f t="shared" si="40"/>
        <v>12885.32</v>
      </c>
      <c r="I296" s="12"/>
      <c r="J296" s="9"/>
      <c r="K296" s="26">
        <v>10828</v>
      </c>
      <c r="M296" s="28"/>
    </row>
    <row r="297" spans="1:13" ht="28.5" x14ac:dyDescent="0.2">
      <c r="A297" s="14" t="s">
        <v>539</v>
      </c>
      <c r="B297" s="14" t="s">
        <v>540</v>
      </c>
      <c r="C297" s="10">
        <f t="shared" si="39"/>
        <v>17295.600000000002</v>
      </c>
      <c r="D297" s="10">
        <f t="shared" si="36"/>
        <v>16430.820000000003</v>
      </c>
      <c r="E297" s="10">
        <f t="shared" si="37"/>
        <v>24708.000000000004</v>
      </c>
      <c r="F297" s="10">
        <f t="shared" si="38"/>
        <v>864.7800000000002</v>
      </c>
      <c r="G297" s="9">
        <v>0.85</v>
      </c>
      <c r="H297" s="11">
        <f t="shared" si="40"/>
        <v>14701.26</v>
      </c>
      <c r="I297" s="12"/>
      <c r="J297" s="9"/>
      <c r="K297" s="26">
        <v>12354</v>
      </c>
      <c r="M297" s="28"/>
    </row>
    <row r="298" spans="1:13" ht="28.5" x14ac:dyDescent="0.2">
      <c r="A298" s="14" t="s">
        <v>541</v>
      </c>
      <c r="B298" s="14" t="s">
        <v>542</v>
      </c>
      <c r="C298" s="10">
        <f t="shared" si="39"/>
        <v>21818.999999999996</v>
      </c>
      <c r="D298" s="10">
        <f t="shared" si="36"/>
        <v>20728.049999999996</v>
      </c>
      <c r="E298" s="10">
        <f t="shared" si="37"/>
        <v>31169.999999999996</v>
      </c>
      <c r="F298" s="10">
        <f t="shared" si="38"/>
        <v>1090.9499999999998</v>
      </c>
      <c r="G298" s="9">
        <v>0.85</v>
      </c>
      <c r="H298" s="11">
        <f t="shared" si="40"/>
        <v>18546.149999999998</v>
      </c>
      <c r="I298" s="12"/>
      <c r="J298" s="9"/>
      <c r="K298" s="26">
        <v>15585</v>
      </c>
      <c r="M298" s="28"/>
    </row>
    <row r="299" spans="1:13" x14ac:dyDescent="0.2">
      <c r="A299" s="14" t="s">
        <v>543</v>
      </c>
      <c r="B299" s="14" t="s">
        <v>544</v>
      </c>
      <c r="C299" s="10">
        <f t="shared" si="39"/>
        <v>988981</v>
      </c>
      <c r="D299" s="10">
        <f t="shared" si="36"/>
        <v>939531.95</v>
      </c>
      <c r="E299" s="10">
        <f t="shared" si="37"/>
        <v>1412830</v>
      </c>
      <c r="F299" s="10">
        <f t="shared" si="38"/>
        <v>49449.05</v>
      </c>
      <c r="G299" s="9">
        <v>0.85</v>
      </c>
      <c r="H299" s="11">
        <f t="shared" si="40"/>
        <v>840633.85</v>
      </c>
      <c r="I299" s="12"/>
      <c r="J299" s="9"/>
      <c r="K299" s="26">
        <v>706415</v>
      </c>
      <c r="M299" s="28"/>
    </row>
    <row r="300" spans="1:13" x14ac:dyDescent="0.2">
      <c r="A300" s="14" t="s">
        <v>545</v>
      </c>
      <c r="B300" s="14" t="s">
        <v>546</v>
      </c>
      <c r="C300" s="10">
        <f t="shared" si="39"/>
        <v>1230721.7999999998</v>
      </c>
      <c r="D300" s="10">
        <f t="shared" si="36"/>
        <v>1169185.7099999997</v>
      </c>
      <c r="E300" s="10">
        <f t="shared" si="37"/>
        <v>1758173.9999999998</v>
      </c>
      <c r="F300" s="10">
        <f t="shared" si="38"/>
        <v>61536.09</v>
      </c>
      <c r="G300" s="9">
        <v>0.85</v>
      </c>
      <c r="H300" s="11">
        <f t="shared" si="40"/>
        <v>1046113.5299999999</v>
      </c>
      <c r="I300" s="12"/>
      <c r="J300" s="9"/>
      <c r="K300" s="26">
        <v>879087</v>
      </c>
      <c r="M300" s="28"/>
    </row>
    <row r="301" spans="1:13" ht="15" x14ac:dyDescent="0.2">
      <c r="A301" s="31" t="s">
        <v>547</v>
      </c>
      <c r="B301" s="31"/>
      <c r="C301" s="31"/>
      <c r="D301" s="31"/>
      <c r="E301" s="31"/>
      <c r="F301" s="31"/>
      <c r="G301" s="9"/>
      <c r="H301" s="11"/>
      <c r="I301" s="12"/>
      <c r="J301" s="9"/>
      <c r="K301" s="16"/>
    </row>
    <row r="302" spans="1:13" x14ac:dyDescent="0.2">
      <c r="A302" s="14" t="s">
        <v>548</v>
      </c>
      <c r="B302" s="14" t="s">
        <v>549</v>
      </c>
      <c r="C302" s="10">
        <f t="shared" ref="C302:C308" si="41">+H302/G302</f>
        <v>198.79999999999998</v>
      </c>
      <c r="D302" s="10">
        <f t="shared" si="36"/>
        <v>188.85999999999999</v>
      </c>
      <c r="E302" s="10">
        <f t="shared" si="37"/>
        <v>284</v>
      </c>
      <c r="F302" s="10">
        <f t="shared" si="38"/>
        <v>9.94</v>
      </c>
      <c r="G302" s="9">
        <v>0.85</v>
      </c>
      <c r="H302" s="11">
        <f t="shared" si="40"/>
        <v>168.98</v>
      </c>
      <c r="I302" s="12"/>
      <c r="J302" s="9"/>
      <c r="K302" s="27">
        <v>142</v>
      </c>
    </row>
    <row r="303" spans="1:13" x14ac:dyDescent="0.2">
      <c r="A303" s="14" t="s">
        <v>550</v>
      </c>
      <c r="B303" s="14" t="s">
        <v>551</v>
      </c>
      <c r="C303" s="10">
        <f t="shared" si="41"/>
        <v>3168.2</v>
      </c>
      <c r="D303" s="10">
        <f t="shared" si="36"/>
        <v>3009.79</v>
      </c>
      <c r="E303" s="10">
        <f t="shared" si="37"/>
        <v>4526</v>
      </c>
      <c r="F303" s="10">
        <f t="shared" si="38"/>
        <v>158.41</v>
      </c>
      <c r="G303" s="9">
        <v>0.85</v>
      </c>
      <c r="H303" s="11">
        <f t="shared" si="40"/>
        <v>2692.97</v>
      </c>
      <c r="I303" s="12"/>
      <c r="J303" s="9"/>
      <c r="K303" s="26">
        <v>2263</v>
      </c>
    </row>
    <row r="304" spans="1:13" x14ac:dyDescent="0.2">
      <c r="A304" s="14" t="s">
        <v>552</v>
      </c>
      <c r="B304" s="14" t="s">
        <v>553</v>
      </c>
      <c r="C304" s="10">
        <f t="shared" si="41"/>
        <v>3231.2000000000003</v>
      </c>
      <c r="D304" s="10">
        <f t="shared" si="36"/>
        <v>3069.6400000000003</v>
      </c>
      <c r="E304" s="10">
        <f t="shared" si="37"/>
        <v>4616.0000000000009</v>
      </c>
      <c r="F304" s="10">
        <f t="shared" si="38"/>
        <v>161.56000000000003</v>
      </c>
      <c r="G304" s="9">
        <v>0.85</v>
      </c>
      <c r="H304" s="11">
        <f t="shared" si="40"/>
        <v>2746.52</v>
      </c>
      <c r="I304" s="12"/>
      <c r="J304" s="9"/>
      <c r="K304" s="26">
        <v>2308</v>
      </c>
    </row>
    <row r="305" spans="1:11" x14ac:dyDescent="0.2">
      <c r="A305" s="14" t="s">
        <v>554</v>
      </c>
      <c r="B305" s="14" t="s">
        <v>555</v>
      </c>
      <c r="C305" s="10">
        <f t="shared" si="41"/>
        <v>2683.8</v>
      </c>
      <c r="D305" s="10">
        <f t="shared" si="36"/>
        <v>2549.61</v>
      </c>
      <c r="E305" s="10">
        <f t="shared" si="37"/>
        <v>3834.0000000000005</v>
      </c>
      <c r="F305" s="10">
        <f t="shared" si="38"/>
        <v>134.19000000000003</v>
      </c>
      <c r="G305" s="9">
        <v>0.85</v>
      </c>
      <c r="H305" s="11">
        <f t="shared" si="40"/>
        <v>2281.23</v>
      </c>
      <c r="I305" s="12"/>
      <c r="J305" s="9"/>
      <c r="K305" s="26">
        <v>1917</v>
      </c>
    </row>
    <row r="306" spans="1:11" x14ac:dyDescent="0.2">
      <c r="A306" s="14" t="s">
        <v>556</v>
      </c>
      <c r="B306" s="14" t="s">
        <v>557</v>
      </c>
      <c r="C306" s="10">
        <f t="shared" si="41"/>
        <v>516.59999999999991</v>
      </c>
      <c r="D306" s="10">
        <f t="shared" si="36"/>
        <v>490.76999999999992</v>
      </c>
      <c r="E306" s="10">
        <f t="shared" si="37"/>
        <v>737.99999999999989</v>
      </c>
      <c r="F306" s="10">
        <f t="shared" si="38"/>
        <v>25.83</v>
      </c>
      <c r="G306" s="9">
        <v>0.85</v>
      </c>
      <c r="H306" s="11">
        <f t="shared" si="40"/>
        <v>439.10999999999996</v>
      </c>
      <c r="I306" s="12"/>
      <c r="J306" s="9"/>
      <c r="K306" s="27">
        <v>369</v>
      </c>
    </row>
    <row r="307" spans="1:11" x14ac:dyDescent="0.2">
      <c r="A307" s="14" t="s">
        <v>558</v>
      </c>
      <c r="B307" s="14" t="s">
        <v>559</v>
      </c>
      <c r="C307" s="10">
        <f t="shared" si="41"/>
        <v>646.79999999999995</v>
      </c>
      <c r="D307" s="10">
        <f t="shared" si="36"/>
        <v>614.45999999999992</v>
      </c>
      <c r="E307" s="10">
        <f t="shared" si="37"/>
        <v>924</v>
      </c>
      <c r="F307" s="10">
        <f t="shared" si="38"/>
        <v>32.339999999999996</v>
      </c>
      <c r="G307" s="9">
        <v>0.85</v>
      </c>
      <c r="H307" s="11">
        <f t="shared" si="40"/>
        <v>549.78</v>
      </c>
      <c r="I307" s="12"/>
      <c r="J307" s="9"/>
      <c r="K307" s="27">
        <v>462</v>
      </c>
    </row>
    <row r="308" spans="1:11" x14ac:dyDescent="0.2">
      <c r="A308" s="14" t="s">
        <v>560</v>
      </c>
      <c r="B308" s="14" t="s">
        <v>561</v>
      </c>
      <c r="C308" s="10">
        <f t="shared" si="41"/>
        <v>10686.2</v>
      </c>
      <c r="D308" s="10">
        <f t="shared" si="36"/>
        <v>10151.890000000001</v>
      </c>
      <c r="E308" s="10">
        <f t="shared" si="37"/>
        <v>15266.000000000002</v>
      </c>
      <c r="F308" s="10">
        <f t="shared" si="38"/>
        <v>534.31000000000006</v>
      </c>
      <c r="G308" s="9">
        <v>0.85</v>
      </c>
      <c r="H308" s="11">
        <f t="shared" si="40"/>
        <v>9083.27</v>
      </c>
      <c r="I308" s="12"/>
      <c r="J308" s="9"/>
      <c r="K308" s="26">
        <v>7633</v>
      </c>
    </row>
    <row r="309" spans="1:11" ht="15" x14ac:dyDescent="0.2">
      <c r="A309" s="31" t="s">
        <v>562</v>
      </c>
      <c r="B309" s="31"/>
      <c r="C309" s="31"/>
      <c r="D309" s="31"/>
      <c r="E309" s="31"/>
      <c r="F309" s="31"/>
      <c r="G309" s="9"/>
      <c r="H309" s="11"/>
      <c r="I309" s="12"/>
      <c r="J309" s="9"/>
      <c r="K309" s="16"/>
    </row>
    <row r="310" spans="1:11" ht="15" x14ac:dyDescent="0.2">
      <c r="A310" s="31" t="s">
        <v>563</v>
      </c>
      <c r="B310" s="31"/>
      <c r="C310" s="31"/>
      <c r="D310" s="31"/>
      <c r="E310" s="31"/>
      <c r="F310" s="31"/>
      <c r="G310" s="9"/>
      <c r="H310" s="11"/>
      <c r="I310" s="12"/>
      <c r="J310" s="9"/>
      <c r="K310" s="16"/>
    </row>
    <row r="311" spans="1:11" x14ac:dyDescent="0.2">
      <c r="A311" s="14" t="s">
        <v>564</v>
      </c>
      <c r="B311" s="14" t="s">
        <v>565</v>
      </c>
      <c r="C311" s="10">
        <f>+H311/G311</f>
        <v>1158606.3999999999</v>
      </c>
      <c r="D311" s="10">
        <f t="shared" si="36"/>
        <v>1100676.0799999998</v>
      </c>
      <c r="E311" s="10">
        <f t="shared" si="37"/>
        <v>1655152</v>
      </c>
      <c r="F311" s="10">
        <f t="shared" si="38"/>
        <v>57930.32</v>
      </c>
      <c r="G311" s="9">
        <v>0.85</v>
      </c>
      <c r="H311" s="11">
        <f t="shared" si="40"/>
        <v>984815.44</v>
      </c>
      <c r="I311" s="12"/>
      <c r="J311" s="9"/>
      <c r="K311" s="26">
        <v>827576</v>
      </c>
    </row>
    <row r="312" spans="1:11" ht="28.5" x14ac:dyDescent="0.2">
      <c r="A312" s="14" t="s">
        <v>566</v>
      </c>
      <c r="B312" s="14" t="s">
        <v>567</v>
      </c>
      <c r="C312" s="10">
        <f>+H312/G312</f>
        <v>2539769.4</v>
      </c>
      <c r="D312" s="10">
        <f t="shared" si="36"/>
        <v>2412780.9299999997</v>
      </c>
      <c r="E312" s="10">
        <f t="shared" si="37"/>
        <v>3628242</v>
      </c>
      <c r="F312" s="10">
        <f t="shared" si="38"/>
        <v>126988.47</v>
      </c>
      <c r="G312" s="9">
        <v>0.85</v>
      </c>
      <c r="H312" s="11">
        <f t="shared" si="40"/>
        <v>2158803.9899999998</v>
      </c>
      <c r="I312" s="12"/>
      <c r="J312" s="9"/>
      <c r="K312" s="26">
        <v>1814121</v>
      </c>
    </row>
    <row r="313" spans="1:11" ht="28.5" x14ac:dyDescent="0.2">
      <c r="A313" s="14" t="s">
        <v>568</v>
      </c>
      <c r="B313" s="14" t="s">
        <v>569</v>
      </c>
      <c r="C313" s="10">
        <f>+H313/G313</f>
        <v>4997286</v>
      </c>
      <c r="D313" s="10">
        <f t="shared" si="36"/>
        <v>4747421.7</v>
      </c>
      <c r="E313" s="10">
        <f t="shared" si="37"/>
        <v>7138980</v>
      </c>
      <c r="F313" s="10">
        <f t="shared" si="38"/>
        <v>249864.30000000002</v>
      </c>
      <c r="G313" s="9">
        <v>0.85</v>
      </c>
      <c r="H313" s="11">
        <f t="shared" si="40"/>
        <v>4247693.0999999996</v>
      </c>
      <c r="I313" s="12"/>
      <c r="J313" s="9"/>
      <c r="K313" s="26">
        <v>3569490</v>
      </c>
    </row>
    <row r="314" spans="1:11" ht="28.5" x14ac:dyDescent="0.2">
      <c r="A314" s="14" t="s">
        <v>570</v>
      </c>
      <c r="B314" s="14" t="s">
        <v>571</v>
      </c>
      <c r="C314" s="10">
        <f>+H314/G314</f>
        <v>10233031.199999999</v>
      </c>
      <c r="D314" s="10">
        <f t="shared" si="36"/>
        <v>9721379.6399999987</v>
      </c>
      <c r="E314" s="10">
        <f t="shared" si="37"/>
        <v>14618616</v>
      </c>
      <c r="F314" s="10">
        <f t="shared" si="38"/>
        <v>511651.56</v>
      </c>
      <c r="G314" s="9">
        <v>0.85</v>
      </c>
      <c r="H314" s="11">
        <f t="shared" si="40"/>
        <v>8698076.5199999996</v>
      </c>
      <c r="I314" s="12"/>
      <c r="J314" s="9"/>
      <c r="K314" s="26">
        <v>7309308</v>
      </c>
    </row>
    <row r="315" spans="1:11" ht="15" x14ac:dyDescent="0.2">
      <c r="A315" s="31" t="s">
        <v>572</v>
      </c>
      <c r="B315" s="31"/>
      <c r="C315" s="31"/>
      <c r="D315" s="31"/>
      <c r="E315" s="31"/>
      <c r="F315" s="31"/>
      <c r="G315" s="9"/>
      <c r="H315" s="11"/>
      <c r="I315" s="12"/>
      <c r="J315" s="9"/>
      <c r="K315" s="16"/>
    </row>
    <row r="316" spans="1:11" ht="42.75" x14ac:dyDescent="0.2">
      <c r="A316" s="14" t="s">
        <v>573</v>
      </c>
      <c r="B316" s="14" t="s">
        <v>574</v>
      </c>
      <c r="C316" s="10">
        <f t="shared" ref="C316:C323" si="42">+H316/G316</f>
        <v>797139</v>
      </c>
      <c r="D316" s="10">
        <f t="shared" si="36"/>
        <v>757282.05</v>
      </c>
      <c r="E316" s="10">
        <f t="shared" si="37"/>
        <v>1138770</v>
      </c>
      <c r="F316" s="10">
        <f t="shared" si="38"/>
        <v>39856.950000000004</v>
      </c>
      <c r="G316" s="9">
        <v>0.85</v>
      </c>
      <c r="H316" s="11">
        <f t="shared" ref="H316:H323" si="43">K316*1.19</f>
        <v>677568.15</v>
      </c>
      <c r="I316" s="12"/>
      <c r="J316" s="9"/>
      <c r="K316" s="26">
        <v>569385</v>
      </c>
    </row>
    <row r="317" spans="1:11" ht="42.75" x14ac:dyDescent="0.2">
      <c r="A317" s="14" t="s">
        <v>575</v>
      </c>
      <c r="B317" s="14" t="s">
        <v>576</v>
      </c>
      <c r="C317" s="10">
        <f t="shared" si="42"/>
        <v>652213.80000000005</v>
      </c>
      <c r="D317" s="10">
        <f t="shared" si="36"/>
        <v>619603.1100000001</v>
      </c>
      <c r="E317" s="10">
        <f t="shared" si="37"/>
        <v>931734.00000000012</v>
      </c>
      <c r="F317" s="10">
        <f t="shared" si="38"/>
        <v>32610.690000000002</v>
      </c>
      <c r="G317" s="9">
        <v>0.85</v>
      </c>
      <c r="H317" s="11">
        <f t="shared" si="43"/>
        <v>554381.73</v>
      </c>
      <c r="I317" s="12"/>
      <c r="J317" s="9"/>
      <c r="K317" s="26">
        <v>465867</v>
      </c>
    </row>
    <row r="318" spans="1:11" ht="42.75" x14ac:dyDescent="0.2">
      <c r="A318" s="14" t="s">
        <v>577</v>
      </c>
      <c r="B318" s="14" t="s">
        <v>578</v>
      </c>
      <c r="C318" s="10">
        <f t="shared" si="42"/>
        <v>497845.60000000003</v>
      </c>
      <c r="D318" s="10">
        <f t="shared" si="36"/>
        <v>472953.32</v>
      </c>
      <c r="E318" s="10">
        <f t="shared" si="37"/>
        <v>711208.00000000012</v>
      </c>
      <c r="F318" s="10">
        <f t="shared" si="38"/>
        <v>24892.280000000002</v>
      </c>
      <c r="G318" s="9">
        <v>0.85</v>
      </c>
      <c r="H318" s="11">
        <f t="shared" si="43"/>
        <v>423168.76</v>
      </c>
      <c r="I318" s="12"/>
      <c r="J318" s="9"/>
      <c r="K318" s="26">
        <v>355604</v>
      </c>
    </row>
    <row r="319" spans="1:11" ht="42.75" x14ac:dyDescent="0.2">
      <c r="A319" s="14" t="s">
        <v>579</v>
      </c>
      <c r="B319" s="14" t="s">
        <v>580</v>
      </c>
      <c r="C319" s="10">
        <f t="shared" si="42"/>
        <v>414846.6</v>
      </c>
      <c r="D319" s="10">
        <f t="shared" si="36"/>
        <v>394104.26999999996</v>
      </c>
      <c r="E319" s="10">
        <f t="shared" si="37"/>
        <v>592638</v>
      </c>
      <c r="F319" s="10">
        <f t="shared" si="38"/>
        <v>20742.330000000002</v>
      </c>
      <c r="G319" s="9">
        <v>0.85</v>
      </c>
      <c r="H319" s="11">
        <f t="shared" si="43"/>
        <v>352619.61</v>
      </c>
      <c r="I319" s="12"/>
      <c r="J319" s="9"/>
      <c r="K319" s="26">
        <v>296319</v>
      </c>
    </row>
    <row r="320" spans="1:11" ht="42.75" x14ac:dyDescent="0.2">
      <c r="A320" s="14" t="s">
        <v>581</v>
      </c>
      <c r="B320" s="14" t="s">
        <v>582</v>
      </c>
      <c r="C320" s="10">
        <f t="shared" si="42"/>
        <v>343923.99999999994</v>
      </c>
      <c r="D320" s="10">
        <f t="shared" si="36"/>
        <v>326727.79999999993</v>
      </c>
      <c r="E320" s="10">
        <f t="shared" si="37"/>
        <v>491319.99999999994</v>
      </c>
      <c r="F320" s="10">
        <f t="shared" si="38"/>
        <v>17196.199999999997</v>
      </c>
      <c r="G320" s="9">
        <v>0.85</v>
      </c>
      <c r="H320" s="11">
        <f t="shared" si="43"/>
        <v>292335.39999999997</v>
      </c>
      <c r="I320" s="12"/>
      <c r="J320" s="9"/>
      <c r="K320" s="26">
        <v>245660</v>
      </c>
    </row>
    <row r="321" spans="1:11" ht="42.75" x14ac:dyDescent="0.2">
      <c r="A321" s="14" t="s">
        <v>583</v>
      </c>
      <c r="B321" s="14" t="s">
        <v>584</v>
      </c>
      <c r="C321" s="10">
        <f t="shared" si="42"/>
        <v>257943</v>
      </c>
      <c r="D321" s="10">
        <f t="shared" si="36"/>
        <v>245045.85</v>
      </c>
      <c r="E321" s="10">
        <f t="shared" si="37"/>
        <v>368490</v>
      </c>
      <c r="F321" s="10">
        <f t="shared" si="38"/>
        <v>12897.150000000001</v>
      </c>
      <c r="G321" s="9">
        <v>0.85</v>
      </c>
      <c r="H321" s="11">
        <f t="shared" si="43"/>
        <v>219251.55</v>
      </c>
      <c r="I321" s="12"/>
      <c r="J321" s="9"/>
      <c r="K321" s="26">
        <v>184245</v>
      </c>
    </row>
    <row r="322" spans="1:11" ht="42.75" x14ac:dyDescent="0.2">
      <c r="A322" s="14" t="s">
        <v>585</v>
      </c>
      <c r="B322" s="14" t="s">
        <v>586</v>
      </c>
      <c r="C322" s="10">
        <f t="shared" si="42"/>
        <v>104370</v>
      </c>
      <c r="D322" s="10">
        <f t="shared" si="36"/>
        <v>99151.5</v>
      </c>
      <c r="E322" s="10">
        <f t="shared" si="37"/>
        <v>149100</v>
      </c>
      <c r="F322" s="10">
        <f t="shared" si="38"/>
        <v>5218.5</v>
      </c>
      <c r="G322" s="9">
        <v>0.85</v>
      </c>
      <c r="H322" s="11">
        <f t="shared" si="43"/>
        <v>88714.5</v>
      </c>
      <c r="I322" s="12"/>
      <c r="J322" s="9"/>
      <c r="K322" s="26">
        <v>74550</v>
      </c>
    </row>
    <row r="323" spans="1:11" ht="42.75" x14ac:dyDescent="0.2">
      <c r="A323" s="14" t="s">
        <v>587</v>
      </c>
      <c r="B323" s="14" t="s">
        <v>588</v>
      </c>
      <c r="C323" s="10">
        <f t="shared" si="42"/>
        <v>67592</v>
      </c>
      <c r="D323" s="10">
        <f t="shared" si="36"/>
        <v>64212.4</v>
      </c>
      <c r="E323" s="10">
        <f t="shared" si="37"/>
        <v>96560</v>
      </c>
      <c r="F323" s="10">
        <f t="shared" si="38"/>
        <v>3379.6000000000004</v>
      </c>
      <c r="G323" s="9">
        <v>0.85</v>
      </c>
      <c r="H323" s="11">
        <f t="shared" si="43"/>
        <v>57453.2</v>
      </c>
      <c r="I323" s="12"/>
      <c r="J323" s="9"/>
      <c r="K323" s="26">
        <v>48280</v>
      </c>
    </row>
    <row r="324" spans="1:11" ht="15" x14ac:dyDescent="0.2">
      <c r="A324" s="30" t="s">
        <v>589</v>
      </c>
      <c r="B324" s="30"/>
      <c r="C324" s="31"/>
      <c r="D324" s="31"/>
      <c r="E324" s="31"/>
      <c r="F324" s="31"/>
      <c r="G324" s="9"/>
      <c r="H324" s="11"/>
      <c r="I324" s="12"/>
      <c r="J324" s="9"/>
      <c r="K324" s="16"/>
    </row>
    <row r="325" spans="1:11" ht="28.5" x14ac:dyDescent="0.2">
      <c r="A325" s="14" t="s">
        <v>590</v>
      </c>
      <c r="B325" s="14" t="s">
        <v>591</v>
      </c>
      <c r="C325" s="10">
        <f t="shared" ref="C325:C331" si="44">+H325/G325</f>
        <v>389201.4</v>
      </c>
      <c r="D325" s="10">
        <f t="shared" ref="D325:D336" si="45">+C325-F325</f>
        <v>369741.33</v>
      </c>
      <c r="E325" s="10">
        <f t="shared" ref="E325:E336" si="46">+C325/0.7</f>
        <v>556002.00000000012</v>
      </c>
      <c r="F325" s="10">
        <f t="shared" ref="F325:F336" si="47">+C325*5%</f>
        <v>19460.070000000003</v>
      </c>
      <c r="G325" s="9">
        <v>0.85</v>
      </c>
      <c r="H325" s="11">
        <f t="shared" ref="H325:H331" si="48">K325*1.19</f>
        <v>330821.19</v>
      </c>
      <c r="I325" s="12"/>
      <c r="J325" s="9"/>
      <c r="K325" s="26">
        <v>278001</v>
      </c>
    </row>
    <row r="326" spans="1:11" ht="28.5" x14ac:dyDescent="0.2">
      <c r="A326" s="14" t="s">
        <v>592</v>
      </c>
      <c r="B326" s="14" t="s">
        <v>593</v>
      </c>
      <c r="C326" s="10">
        <f t="shared" si="44"/>
        <v>319919.59999999998</v>
      </c>
      <c r="D326" s="10">
        <f t="shared" si="45"/>
        <v>303923.62</v>
      </c>
      <c r="E326" s="10">
        <f t="shared" si="46"/>
        <v>457028</v>
      </c>
      <c r="F326" s="10">
        <f t="shared" si="47"/>
        <v>15995.98</v>
      </c>
      <c r="G326" s="9">
        <v>0.85</v>
      </c>
      <c r="H326" s="11">
        <f t="shared" si="48"/>
        <v>271931.65999999997</v>
      </c>
      <c r="I326" s="12"/>
      <c r="J326" s="9"/>
      <c r="K326" s="26">
        <v>228514</v>
      </c>
    </row>
    <row r="327" spans="1:11" ht="28.5" x14ac:dyDescent="0.2">
      <c r="A327" s="14" t="s">
        <v>594</v>
      </c>
      <c r="B327" s="14" t="s">
        <v>595</v>
      </c>
      <c r="C327" s="10">
        <f t="shared" si="44"/>
        <v>518321.99999999994</v>
      </c>
      <c r="D327" s="10">
        <f t="shared" si="45"/>
        <v>492405.89999999997</v>
      </c>
      <c r="E327" s="10">
        <f t="shared" si="46"/>
        <v>740460</v>
      </c>
      <c r="F327" s="10">
        <f t="shared" si="47"/>
        <v>25916.1</v>
      </c>
      <c r="G327" s="9">
        <v>0.85</v>
      </c>
      <c r="H327" s="11">
        <f t="shared" si="48"/>
        <v>440573.69999999995</v>
      </c>
      <c r="I327" s="12"/>
      <c r="J327" s="9"/>
      <c r="K327" s="26">
        <v>370230</v>
      </c>
    </row>
    <row r="328" spans="1:11" ht="28.5" x14ac:dyDescent="0.2">
      <c r="A328" s="14" t="s">
        <v>596</v>
      </c>
      <c r="B328" s="14" t="s">
        <v>597</v>
      </c>
      <c r="C328" s="10">
        <f t="shared" si="44"/>
        <v>8101.8</v>
      </c>
      <c r="D328" s="10">
        <f t="shared" si="45"/>
        <v>7696.71</v>
      </c>
      <c r="E328" s="10">
        <f t="shared" si="46"/>
        <v>11574.000000000002</v>
      </c>
      <c r="F328" s="10">
        <f t="shared" si="47"/>
        <v>405.09000000000003</v>
      </c>
      <c r="G328" s="9">
        <v>0.85</v>
      </c>
      <c r="H328" s="11">
        <f t="shared" si="48"/>
        <v>6886.53</v>
      </c>
      <c r="I328" s="12"/>
      <c r="J328" s="9"/>
      <c r="K328" s="26">
        <v>5787</v>
      </c>
    </row>
    <row r="329" spans="1:11" ht="28.5" x14ac:dyDescent="0.2">
      <c r="A329" s="14" t="s">
        <v>598</v>
      </c>
      <c r="B329" s="14" t="s">
        <v>599</v>
      </c>
      <c r="C329" s="10">
        <f t="shared" si="44"/>
        <v>24105.199999999997</v>
      </c>
      <c r="D329" s="10">
        <f t="shared" si="45"/>
        <v>22899.94</v>
      </c>
      <c r="E329" s="10">
        <f t="shared" si="46"/>
        <v>34436</v>
      </c>
      <c r="F329" s="10">
        <f t="shared" si="47"/>
        <v>1205.26</v>
      </c>
      <c r="G329" s="9">
        <v>0.85</v>
      </c>
      <c r="H329" s="11">
        <f t="shared" si="48"/>
        <v>20489.419999999998</v>
      </c>
      <c r="I329" s="12"/>
      <c r="J329" s="9"/>
      <c r="K329" s="26">
        <v>17218</v>
      </c>
    </row>
    <row r="330" spans="1:11" ht="28.5" x14ac:dyDescent="0.2">
      <c r="A330" s="14" t="s">
        <v>600</v>
      </c>
      <c r="B330" s="14" t="s">
        <v>601</v>
      </c>
      <c r="C330" s="10">
        <f t="shared" si="44"/>
        <v>35834.400000000001</v>
      </c>
      <c r="D330" s="10">
        <f t="shared" si="45"/>
        <v>34042.68</v>
      </c>
      <c r="E330" s="10">
        <f t="shared" si="46"/>
        <v>51192.000000000007</v>
      </c>
      <c r="F330" s="10">
        <f t="shared" si="47"/>
        <v>1791.7200000000003</v>
      </c>
      <c r="G330" s="9">
        <v>0.85</v>
      </c>
      <c r="H330" s="11">
        <f t="shared" si="48"/>
        <v>30459.239999999998</v>
      </c>
      <c r="I330" s="12"/>
      <c r="J330" s="9"/>
      <c r="K330" s="26">
        <v>25596</v>
      </c>
    </row>
    <row r="331" spans="1:11" ht="28.5" x14ac:dyDescent="0.2">
      <c r="A331" s="14" t="s">
        <v>602</v>
      </c>
      <c r="B331" s="14" t="s">
        <v>603</v>
      </c>
      <c r="C331" s="10">
        <f t="shared" si="44"/>
        <v>20526.8</v>
      </c>
      <c r="D331" s="10">
        <f t="shared" si="45"/>
        <v>19500.46</v>
      </c>
      <c r="E331" s="10">
        <f t="shared" si="46"/>
        <v>29324</v>
      </c>
      <c r="F331" s="10">
        <f t="shared" si="47"/>
        <v>1026.3399999999999</v>
      </c>
      <c r="G331" s="9">
        <v>0.85</v>
      </c>
      <c r="H331" s="11">
        <f t="shared" si="48"/>
        <v>17447.78</v>
      </c>
      <c r="I331" s="12"/>
      <c r="J331" s="9"/>
      <c r="K331" s="26">
        <v>14662</v>
      </c>
    </row>
    <row r="332" spans="1:11" ht="15" x14ac:dyDescent="0.2">
      <c r="A332" s="30" t="s">
        <v>604</v>
      </c>
      <c r="B332" s="30"/>
      <c r="C332" s="31"/>
      <c r="D332" s="31"/>
      <c r="E332" s="31"/>
      <c r="F332" s="31"/>
      <c r="G332" s="9"/>
      <c r="H332" s="11"/>
      <c r="I332" s="12"/>
      <c r="J332" s="9"/>
      <c r="K332" s="16"/>
    </row>
    <row r="333" spans="1:11" ht="28.5" x14ac:dyDescent="0.2">
      <c r="A333" s="14" t="s">
        <v>605</v>
      </c>
      <c r="B333" s="14" t="s">
        <v>606</v>
      </c>
      <c r="C333" s="10">
        <f>+H333/G333</f>
        <v>841321.6</v>
      </c>
      <c r="D333" s="10">
        <f t="shared" si="45"/>
        <v>799255.52</v>
      </c>
      <c r="E333" s="10">
        <f t="shared" si="46"/>
        <v>1201888</v>
      </c>
      <c r="F333" s="10">
        <f t="shared" si="47"/>
        <v>42066.080000000002</v>
      </c>
      <c r="G333" s="9">
        <v>0.85</v>
      </c>
      <c r="H333" s="11">
        <f t="shared" ref="H333:H334" si="49">K333*1.19</f>
        <v>715123.36</v>
      </c>
      <c r="I333" s="12"/>
      <c r="J333" s="9"/>
      <c r="K333" s="26">
        <v>600944</v>
      </c>
    </row>
    <row r="334" spans="1:11" ht="28.5" x14ac:dyDescent="0.2">
      <c r="A334" s="14" t="s">
        <v>607</v>
      </c>
      <c r="B334" s="14" t="s">
        <v>608</v>
      </c>
      <c r="C334" s="10">
        <f>+H334/G334</f>
        <v>2313833.2000000002</v>
      </c>
      <c r="D334" s="10">
        <f t="shared" si="45"/>
        <v>2198141.54</v>
      </c>
      <c r="E334" s="10">
        <f t="shared" si="46"/>
        <v>3305476.0000000005</v>
      </c>
      <c r="F334" s="10">
        <f t="shared" si="47"/>
        <v>115691.66000000002</v>
      </c>
      <c r="G334" s="9">
        <v>0.85</v>
      </c>
      <c r="H334" s="11">
        <f t="shared" si="49"/>
        <v>1966758.22</v>
      </c>
      <c r="I334" s="12"/>
      <c r="J334" s="9"/>
      <c r="K334" s="26">
        <v>1652738</v>
      </c>
    </row>
    <row r="335" spans="1:11" ht="15" x14ac:dyDescent="0.2">
      <c r="A335" s="30" t="s">
        <v>609</v>
      </c>
      <c r="B335" s="30"/>
      <c r="C335" s="31"/>
      <c r="D335" s="31"/>
      <c r="E335" s="31"/>
      <c r="F335" s="31"/>
      <c r="G335" s="9"/>
      <c r="H335" s="11"/>
      <c r="I335" s="12"/>
      <c r="J335" s="9"/>
      <c r="K335" s="16"/>
    </row>
    <row r="336" spans="1:11" ht="28.5" x14ac:dyDescent="0.2">
      <c r="A336" s="14" t="s">
        <v>610</v>
      </c>
      <c r="B336" s="14" t="s">
        <v>611</v>
      </c>
      <c r="C336" s="10">
        <f>+H336/G336</f>
        <v>797983.2</v>
      </c>
      <c r="D336" s="10">
        <f t="shared" si="45"/>
        <v>758084.03999999992</v>
      </c>
      <c r="E336" s="10">
        <f t="shared" si="46"/>
        <v>1139976</v>
      </c>
      <c r="F336" s="10">
        <f t="shared" si="47"/>
        <v>39899.160000000003</v>
      </c>
      <c r="G336" s="9">
        <v>0.85</v>
      </c>
      <c r="H336" s="11">
        <f t="shared" ref="H336" si="50">K336*1.19</f>
        <v>678285.72</v>
      </c>
      <c r="I336" s="12"/>
      <c r="J336" s="9"/>
      <c r="K336" s="26">
        <v>569988</v>
      </c>
    </row>
  </sheetData>
  <mergeCells count="75">
    <mergeCell ref="A2:B2"/>
    <mergeCell ref="C2:D2"/>
    <mergeCell ref="E2:F2"/>
    <mergeCell ref="A22:B22"/>
    <mergeCell ref="C22:D22"/>
    <mergeCell ref="E22:F22"/>
    <mergeCell ref="A19:B19"/>
    <mergeCell ref="C19:D19"/>
    <mergeCell ref="E19:F19"/>
    <mergeCell ref="A35:B35"/>
    <mergeCell ref="C35:D35"/>
    <mergeCell ref="E35:F35"/>
    <mergeCell ref="A42:B42"/>
    <mergeCell ref="C42:D42"/>
    <mergeCell ref="E42:F42"/>
    <mergeCell ref="A141:F141"/>
    <mergeCell ref="A59:F59"/>
    <mergeCell ref="A71:F71"/>
    <mergeCell ref="A80:F80"/>
    <mergeCell ref="A86:F86"/>
    <mergeCell ref="A91:F91"/>
    <mergeCell ref="A108:F108"/>
    <mergeCell ref="A113:F113"/>
    <mergeCell ref="A117:F117"/>
    <mergeCell ref="A126:F126"/>
    <mergeCell ref="A130:F130"/>
    <mergeCell ref="A132:F132"/>
    <mergeCell ref="A165:F165"/>
    <mergeCell ref="A189:F189"/>
    <mergeCell ref="A194:F194"/>
    <mergeCell ref="A199:B199"/>
    <mergeCell ref="C199:D199"/>
    <mergeCell ref="E199:F199"/>
    <mergeCell ref="A202:B202"/>
    <mergeCell ref="C202:D202"/>
    <mergeCell ref="E202:F202"/>
    <mergeCell ref="A218:B218"/>
    <mergeCell ref="C218:D218"/>
    <mergeCell ref="E218:F218"/>
    <mergeCell ref="A241:B241"/>
    <mergeCell ref="C241:D241"/>
    <mergeCell ref="E241:F241"/>
    <mergeCell ref="A246:B246"/>
    <mergeCell ref="C246:D246"/>
    <mergeCell ref="E246:F246"/>
    <mergeCell ref="A247:B247"/>
    <mergeCell ref="C247:D247"/>
    <mergeCell ref="E247:F247"/>
    <mergeCell ref="A259:B259"/>
    <mergeCell ref="C259:D259"/>
    <mergeCell ref="E259:F259"/>
    <mergeCell ref="A276:B276"/>
    <mergeCell ref="C276:D276"/>
    <mergeCell ref="E276:F276"/>
    <mergeCell ref="A301:B301"/>
    <mergeCell ref="C301:D301"/>
    <mergeCell ref="E301:F301"/>
    <mergeCell ref="A309:B309"/>
    <mergeCell ref="C309:D309"/>
    <mergeCell ref="E309:F309"/>
    <mergeCell ref="A310:B310"/>
    <mergeCell ref="C310:D310"/>
    <mergeCell ref="E310:F310"/>
    <mergeCell ref="A315:B315"/>
    <mergeCell ref="C315:D315"/>
    <mergeCell ref="E315:F315"/>
    <mergeCell ref="A324:B324"/>
    <mergeCell ref="C324:D324"/>
    <mergeCell ref="E324:F324"/>
    <mergeCell ref="A332:B332"/>
    <mergeCell ref="C332:D332"/>
    <mergeCell ref="E332:F332"/>
    <mergeCell ref="A335:B335"/>
    <mergeCell ref="C335:D335"/>
    <mergeCell ref="E335:F335"/>
  </mergeCells>
  <conditionalFormatting sqref="A1:E1">
    <cfRule type="duplicateValues" dxfId="22" priority="4"/>
  </conditionalFormatting>
  <conditionalFormatting sqref="C2 E2">
    <cfRule type="duplicateValues" dxfId="21" priority="5"/>
  </conditionalFormatting>
  <conditionalFormatting sqref="C19 E19">
    <cfRule type="duplicateValues" dxfId="20" priority="3"/>
  </conditionalFormatting>
  <conditionalFormatting sqref="C22 E22">
    <cfRule type="duplicateValues" dxfId="19" priority="6"/>
  </conditionalFormatting>
  <conditionalFormatting sqref="C35 E35">
    <cfRule type="duplicateValues" dxfId="18" priority="7"/>
  </conditionalFormatting>
  <conditionalFormatting sqref="C42 E42">
    <cfRule type="duplicateValues" dxfId="17" priority="8"/>
  </conditionalFormatting>
  <conditionalFormatting sqref="C199 E199">
    <cfRule type="duplicateValues" dxfId="16" priority="9"/>
  </conditionalFormatting>
  <conditionalFormatting sqref="C202 E202">
    <cfRule type="duplicateValues" dxfId="15" priority="10"/>
  </conditionalFormatting>
  <conditionalFormatting sqref="C218 E218">
    <cfRule type="duplicateValues" dxfId="14" priority="11"/>
  </conditionalFormatting>
  <conditionalFormatting sqref="C241">
    <cfRule type="duplicateValues" dxfId="13" priority="13"/>
  </conditionalFormatting>
  <conditionalFormatting sqref="C246:C247 E246:E247">
    <cfRule type="duplicateValues" dxfId="12" priority="14"/>
  </conditionalFormatting>
  <conditionalFormatting sqref="C259 E259">
    <cfRule type="duplicateValues" dxfId="11" priority="15"/>
  </conditionalFormatting>
  <conditionalFormatting sqref="C276 E276">
    <cfRule type="duplicateValues" dxfId="10" priority="16"/>
  </conditionalFormatting>
  <conditionalFormatting sqref="C301 E301">
    <cfRule type="duplicateValues" dxfId="9" priority="17"/>
  </conditionalFormatting>
  <conditionalFormatting sqref="C309:C310 E309:E310">
    <cfRule type="duplicateValues" dxfId="8" priority="18"/>
  </conditionalFormatting>
  <conditionalFormatting sqref="C315 E315">
    <cfRule type="duplicateValues" dxfId="7" priority="19"/>
  </conditionalFormatting>
  <conditionalFormatting sqref="C324">
    <cfRule type="duplicateValues" dxfId="6" priority="23"/>
  </conditionalFormatting>
  <conditionalFormatting sqref="C332 E332">
    <cfRule type="duplicateValues" dxfId="5" priority="21"/>
  </conditionalFormatting>
  <conditionalFormatting sqref="C335 E335">
    <cfRule type="duplicateValues" dxfId="4" priority="20"/>
  </conditionalFormatting>
  <conditionalFormatting sqref="E241">
    <cfRule type="duplicateValues" dxfId="3" priority="12"/>
  </conditionalFormatting>
  <conditionalFormatting sqref="E324">
    <cfRule type="duplicateValues" dxfId="2" priority="22"/>
  </conditionalFormatting>
  <conditionalFormatting sqref="A36:A41">
    <cfRule type="duplicateValues" dxfId="1" priority="1"/>
  </conditionalFormatting>
  <conditionalFormatting sqref="A2 A19:A35 A3:B18 A42:A336">
    <cfRule type="duplicateValues" dxfId="0" priority="38"/>
  </conditionalFormatting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2026-08-05T22:14:32Z</cp:lastPrinted>
  <dcterms:created xsi:type="dcterms:W3CDTF">2026-05-12T22:20:10Z</dcterms:created>
  <dcterms:modified xsi:type="dcterms:W3CDTF">2026-08-05T22:15:07Z</dcterms:modified>
</cp:coreProperties>
</file>